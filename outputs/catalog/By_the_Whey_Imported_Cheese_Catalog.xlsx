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88fa687f3241d8" /></Relationships>
</file>

<file path=xl/workbook.xml><?xml version="1.0" encoding="utf-8"?>
<x:workbook xmlns:x="http://schemas.openxmlformats.org/spreadsheetml/2006/main">
  <x:sheets>
    <x:sheet xmlns:r="http://schemas.openxmlformats.org/officeDocument/2006/relationships" name="Summary" sheetId="1" r:id="R77ccd9f411194d98"/>
    <x:sheet xmlns:r="http://schemas.openxmlformats.org/officeDocument/2006/relationships" name="Cheese Catalog" sheetId="2" r:id="R6a454c8c8f02481f"/>
    <x:sheet xmlns:r="http://schemas.openxmlformats.org/officeDocument/2006/relationships" name="Needs Review" sheetId="3" r:id="Rcf0bc436045f4144"/>
    <x:sheet xmlns:r="http://schemas.openxmlformats.org/officeDocument/2006/relationships" name="Source Documents" sheetId="4" r:id="R8b3314988ba54d34"/>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1"/>
      <x:color rgb="FF6C263D"/>
      <x:name val="Carlito"/>
    </x:font>
    <x:font>
      <x:b/>
      <x:sz val="11"/>
      <x:color rgb="FF25231F"/>
      <x:name val="Carlito"/>
    </x:font>
    <x:font>
      <x:b/>
      <x:sz val="11"/>
      <x:color rgb="FF6C263D"/>
      <x:name val="Carlito"/>
    </x:font>
    <x:font>
      <x:b/>
      <x:sz val="18"/>
      <x:color rgb="FF25231F"/>
      <x:name val="Carlito"/>
    </x:font>
    <x:font>
      <x:b/>
      <x:sz val="11"/>
      <x:color rgb="FFFFFFFF"/>
      <x:name val="Carlito"/>
    </x:font>
    <x:font>
      <x:sz val="11"/>
      <x:color rgb="FF25231F"/>
      <x:name val="Carlito"/>
    </x:font>
    <x:font>
      <x:b/>
      <x:sz val="11"/>
      <x:name val="Carlito"/>
    </x:font>
  </x:fonts>
  <x:fills count="6">
    <x:fill>
      <x:patternFill patternType="none"/>
    </x:fill>
    <x:fill>
      <x:patternFill patternType="gray125"/>
    </x:fill>
    <x:fill>
      <x:patternFill patternType="solid">
        <x:fgColor rgb="FF6C263D"/>
      </x:patternFill>
    </x:fill>
    <x:fill>
      <x:patternFill patternType="solid">
        <x:fgColor rgb="FFF2E3E5"/>
      </x:patternFill>
    </x:fill>
    <x:fill>
      <x:patternFill patternType="solid">
        <x:fgColor rgb="FFC89A43"/>
      </x:patternFill>
    </x:fill>
    <x:fill>
      <x:patternFill patternType="solid">
        <x:fgColor rgb="FFF7F2E8"/>
      </x:patternFill>
    </x:fill>
  </x:fills>
  <x:borders count="1">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horizontal="center"/>
    </x:xf>
    <x:xf numFmtId="0" fontId="6" fillId="2" borderId="0" xfId="0" applyNumberFormat="1" applyFont="1" applyFill="1" applyBorder="1"/>
    <x:xf numFmtId="0" fontId="6" fillId="2" borderId="0"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3" fillId="4" borderId="0"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horizontal="center"/>
    </x:xf>
  </x:cellXfs>
  <x:cellStyles count="1">
    <x:cellStyle name="Normal" xfId="0"/>
  </x:cellStyles>
  <x:dxfs count="3">
    <x:dxf>
      <x:font>
        <x:b/>
        <x:color rgb="FF315331"/>
      </x:font>
      <x:fill>
        <x:patternFill patternType="solid">
          <x:bgColor rgb="FFDDE8D8"/>
        </x:patternFill>
      </x:fill>
    </x:dxf>
    <x:dxf>
      <x:font>
        <x:b/>
        <x:color rgb="FF6C263D"/>
      </x:font>
      <x:fill>
        <x:patternFill patternType="solid">
          <x:bgColor rgb="FFF2E3E5"/>
        </x:patternFill>
      </x:fill>
    </x:dxf>
    <x:dxf>
      <x:font>
        <x:b/>
        <x:color rgb="FF6C263D"/>
      </x:font>
      <x:fill>
        <x:patternFill patternType="solid">
          <x:bgColor rgb="FFF2E3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aca17f42614b1b" /><Relationship Type="http://schemas.openxmlformats.org/officeDocument/2006/relationships/theme" Target="/xl/theme/theme1.xml" Id="R8f5ab5854f4f4d70" /><Relationship Type="http://schemas.openxmlformats.org/officeDocument/2006/relationships/sharedStrings" Target="/xl/sharedStrings.xml" Id="Rc47ddda032754a99" /><Relationship Type="http://schemas.openxmlformats.org/officeDocument/2006/relationships/worksheet" Target="/xl/worksheets/sheet1.xml" Id="R77ccd9f411194d98" /><Relationship Type="http://schemas.openxmlformats.org/officeDocument/2006/relationships/worksheet" Target="/xl/worksheets/sheet2.xml" Id="R6a454c8c8f02481f" /><Relationship Type="http://schemas.openxmlformats.org/officeDocument/2006/relationships/worksheet" Target="/xl/worksheets/sheet3.xml" Id="Rcf0bc436045f4144" /><Relationship Type="http://schemas.openxmlformats.org/officeDocument/2006/relationships/worksheet" Target="/xl/worksheets/sheet4.xml" Id="R8b3314988ba54d34" /></Relationships>
</file>

<file path=xl/tables/table1.xml><?xml version="1.0" encoding="utf-8"?>
<x:table xmlns:x="http://schemas.openxmlformats.org/spreadsheetml/2006/main" id="1" name="ImportedCheeseCatalog" displayName="ImportedCheeseCatalog" ref="A5:S120" headerRowCount="1" totalsRowCount="0" totalsRowShown="0">
  <x:tableColumns count="19">
    <x:tableColumn id="1" name="slug"/>
    <x:tableColumn id="2" name="cheese_name"/>
    <x:tableColumn id="3" name="creamery"/>
    <x:tableColumn id="4" name="city"/>
    <x:tableColumn id="5" name="region"/>
    <x:tableColumn id="6" name="country"/>
    <x:tableColumn id="7" name="milk_type"/>
    <x:tableColumn id="8" name="rennet"/>
    <x:tableColumn id="9" name="cheese_style"/>
    <x:tableColumn id="10" name="age_description"/>
    <x:tableColumn id="11" name="flavor_profile"/>
    <x:tableColumn id="12" name="story_notes"/>
    <x:tableColumn id="13" name="pairings"/>
    <x:tableColumn id="14" name="source_document"/>
    <x:tableColumn id="15" name="source_category"/>
    <x:tableColumn id="16" name="review_notes"/>
    <x:tableColumn id="17" name="import_status"/>
    <x:tableColumn id="18" name="original_location"/>
    <x:tableColumn id="19" name="duplicate_check"/>
  </x:tableColumns>
  <x:tableStyleInfo name="TableStyleMedium2" showFirstColumn="0" showLastColumn="0" showRowStripes="1" showColumnStripes="0"/>
</x:table>
</file>

<file path=xl/tables/table2.xml><?xml version="1.0" encoding="utf-8"?>
<x:table xmlns:x="http://schemas.openxmlformats.org/spreadsheetml/2006/main" id="2" name="CheesesNeedingReview" displayName="CheesesNeedingReview" ref="A3:H22" headerRowCount="1" totalsRowCount="0" totalsRowShown="0">
  <x:tableColumns count="8">
    <x:tableColumn id="1" name="Cheese"/>
    <x:tableColumn id="2" name="Creamery"/>
    <x:tableColumn id="3" name="Source category"/>
    <x:tableColumn id="4" name="Issue"/>
    <x:tableColumn id="5" name="Milk type"/>
    <x:tableColumn id="6" name="Rennet"/>
    <x:tableColumn id="7" name="Age"/>
    <x:tableColumn id="8" name="Source document"/>
  </x:tableColumns>
  <x:tableStyleInfo name="TableStyleMedium2" showFirstColumn="0" showLastColumn="0" showRowStripes="1" showColumnStripes="0"/>
</x:table>
</file>

<file path=xl/tables/table3.xml><?xml version="1.0" encoding="utf-8"?>
<x:table xmlns:x="http://schemas.openxmlformats.org/spreadsheetml/2006/main" id="3" name="SourceReconciliation" displayName="SourceReconciliation" ref="A3:E12" headerRowCount="1" totalsRowCount="0" totalsRowShown="0">
  <x:tableColumns count="5">
    <x:tableColumn id="1" name="Source document"/>
    <x:tableColumn id="2" name="Category"/>
    <x:tableColumn id="3" name="Extracted"/>
    <x:tableColumn id="4" name="Ready"/>
    <x:tableColumn id="5" name="Needs review"/>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dc9f0d10634066" /></Relationships>
</file>

<file path=xl/worksheets/_rels/sheet3.xml.rels>&#65279;<?xml version="1.0" encoding="utf-8"?><Relationships xmlns="http://schemas.openxmlformats.org/package/2006/relationships"><Relationship Type="http://schemas.openxmlformats.org/officeDocument/2006/relationships/table" Target="/xl/tables/table2.xml" Id="R1e05ad7be43f4a17" /></Relationships>
</file>

<file path=xl/worksheets/_rels/sheet4.xml.rels>&#65279;<?xml version="1.0" encoding="utf-8"?><Relationships xmlns="http://schemas.openxmlformats.org/package/2006/relationships"><Relationship Type="http://schemas.openxmlformats.org/officeDocument/2006/relationships/table" Target="/xl/tables/table3.xml" Id="R2dc4066a6ecf4591"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BY THE WHEY — CATALOG IMPORT AUDIT</x:v>
      </x:c>
      <x:c r="B1" s="3"/>
      <x:c r="C1" s="3"/>
      <x:c r="D1" s="3"/>
      <x:c r="E1" s="3"/>
      <x:c r="F1" s="3"/>
      <x:c r="G1" s="3"/>
      <x:c r="H1" s="3"/>
    </x:row>
    <x:row r="2" ht="24" customHeight="1">
      <x:c r="A2" s="6" t="str">
        <x:v>Extracted from nine Curd Nerd Word spec-sheet collections</x:v>
      </x:c>
      <x:c r="B2" s="6"/>
      <x:c r="C2" s="6"/>
      <x:c r="D2" s="6"/>
      <x:c r="E2" s="6"/>
      <x:c r="F2" s="6"/>
      <x:c r="G2" s="6"/>
      <x:c r="H2" s="6"/>
    </x:row>
    <x:row r="4">
      <x:c r="A4" s="8" t="str">
        <x:v>Catalog metric</x:v>
      </x:c>
      <x:c r="B4" s="8" t="str">
        <x:v>Count</x:v>
      </x:c>
    </x:row>
    <x:row r="5">
      <x:c r="A5" s="9" t="str">
        <x:v>Total records extracted</x:v>
      </x:c>
      <x:c r="B5" s="11" t="n">
        <x:f>COUNTA('Cheese Catalog'!B6:B120)</x:f>
        <x:v>115</x:v>
      </x:c>
    </x:row>
    <x:row r="6">
      <x:c r="A6" s="9" t="str">
        <x:v>Ready for production import</x:v>
      </x:c>
      <x:c r="B6" s="11" t="n">
        <x:f>COUNTIF('Cheese Catalog'!Q6:Q120,"Ready")</x:f>
        <x:v>96</x:v>
      </x:c>
    </x:row>
    <x:row r="7">
      <x:c r="A7" s="9" t="str">
        <x:v>Needs human review</x:v>
      </x:c>
      <x:c r="B7" s="11" t="n">
        <x:f>COUNTIF('Cheese Catalog'!Q6:Q120,"Needs review")</x:f>
        <x:v>19</x:v>
      </x:c>
    </x:row>
    <x:row r="9" ht="26" customHeight="1">
      <x:c r="A9" s="13" t="str">
        <x:v>Import recommendation</x:v>
      </x:c>
      <x:c r="B9" s="13"/>
      <x:c r="C9" s="13"/>
      <x:c r="D9" s="13"/>
      <x:c r="E9" s="13"/>
      <x:c r="F9" s="13"/>
      <x:c r="G9" s="13"/>
      <x:c r="H9" s="13"/>
    </x:row>
    <x:row r="10">
      <x:c r="A10" s="17" t="str">
        <x:v>Import the records marked Ready. Hold records marked Needs review until the missing or suspicious source values are confirmed. No facts were invented: blank source fields are represented as “Not provided in source.”</x:v>
      </x:c>
      <x:c r="B10" s="17"/>
      <x:c r="C10" s="17"/>
      <x:c r="D10" s="17"/>
      <x:c r="E10" s="17"/>
      <x:c r="F10" s="17"/>
      <x:c r="G10" s="17"/>
      <x:c r="H10" s="17"/>
    </x:row>
    <x:row r="11">
      <x:c r="A11" s="17"/>
      <x:c r="B11" s="17"/>
      <x:c r="C11" s="17"/>
      <x:c r="D11" s="17"/>
      <x:c r="E11" s="17"/>
      <x:c r="F11" s="17"/>
      <x:c r="G11" s="17"/>
      <x:c r="H11" s="17"/>
    </x:row>
    <x:row r="12">
      <x:c r="A12" s="17"/>
      <x:c r="B12" s="17"/>
      <x:c r="C12" s="17"/>
      <x:c r="D12" s="17"/>
      <x:c r="E12" s="17"/>
      <x:c r="F12" s="17"/>
      <x:c r="G12" s="17"/>
      <x:c r="H12" s="17"/>
    </x:row>
  </x:sheetData>
  <x:mergeCells>
    <x:mergeCell ref="A1:H1"/>
    <x:mergeCell ref="A2:H2"/>
    <x:mergeCell ref="A9:H9"/>
    <x:mergeCell ref="A10: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5" hidden="0" customWidth="1"/>
    <x:col min="3" max="3" width="25" hidden="0" customWidth="1"/>
    <x:col min="4" max="4" width="20" hidden="0" customWidth="1"/>
    <x:col min="5" max="5" width="22" hidden="0" customWidth="1"/>
    <x:col min="6" max="6" width="18" hidden="0" customWidth="1"/>
    <x:col min="7" max="7" width="24" hidden="0" customWidth="1"/>
    <x:col min="8" max="8" width="19" hidden="0" customWidth="1"/>
    <x:col min="9" max="9" width="22" hidden="0" customWidth="1"/>
    <x:col min="10" max="10" width="23" hidden="0" customWidth="1"/>
    <x:col min="11" max="11" width="38" hidden="0" customWidth="1"/>
    <x:col min="12" max="12" width="60" hidden="0" customWidth="1"/>
    <x:col min="13" max="13" width="60" hidden="0" customWidth="1"/>
    <x:col min="14" max="14" width="35" hidden="0" customWidth="1"/>
    <x:col min="15" max="15" width="20" hidden="0" customWidth="1"/>
    <x:col min="16" max="16" width="42" hidden="0" customWidth="1"/>
    <x:col min="17" max="17" width="20" hidden="0" customWidth="1"/>
    <x:col min="18" max="18" width="35" hidden="0" customWidth="1"/>
    <x:col min="19" max="19" width="18" hidden="0" customWidth="1"/>
  </x:cols>
  <x:sheetData>
    <x:row r="1" ht="36" customHeight="1">
      <x:c r="A1" s="3" t="str">
        <x:v>BY THE WHEY — CONSOLIDATED CHEESE CATALOG</x:v>
      </x:c>
      <x:c r="B1" s="3"/>
      <x:c r="C1" s="3"/>
      <x:c r="D1" s="3"/>
      <x:c r="E1" s="3"/>
      <x:c r="F1" s="3"/>
      <x:c r="G1" s="3"/>
      <x:c r="H1" s="3"/>
      <x:c r="I1" s="3"/>
      <x:c r="J1" s="3"/>
      <x:c r="K1" s="3"/>
      <x:c r="L1" s="3"/>
      <x:c r="M1" s="3"/>
      <x:c r="N1" s="3"/>
      <x:c r="O1" s="3"/>
      <x:c r="P1" s="3"/>
      <x:c r="Q1" s="3"/>
      <x:c r="R1" s="3"/>
      <x:c r="S1" s="3"/>
    </x:row>
    <x:row r="2" ht="24" customHeight="1">
      <x:c r="A2" s="6" t="str">
        <x:v>115 extracted records · Filter import_status before loading to Supabase</x:v>
      </x:c>
      <x:c r="B2" s="6"/>
      <x:c r="C2" s="6"/>
      <x:c r="D2" s="6"/>
      <x:c r="E2" s="6"/>
      <x:c r="F2" s="6"/>
      <x:c r="G2" s="6"/>
      <x:c r="H2" s="6"/>
      <x:c r="I2" s="6"/>
      <x:c r="J2" s="6"/>
      <x:c r="K2" s="6"/>
      <x:c r="L2" s="6"/>
      <x:c r="M2" s="6"/>
      <x:c r="N2" s="6"/>
      <x:c r="O2" s="6"/>
      <x:c r="P2" s="6"/>
      <x:c r="Q2" s="6"/>
      <x:c r="R2" s="6"/>
      <x:c r="S2" s="6"/>
    </x:row>
    <x:row r="5" ht="34" customHeight="1">
      <x:c r="A5" s="19" t="str">
        <x:v>slug</x:v>
      </x:c>
      <x:c r="B5" s="19" t="str">
        <x:v>cheese_name</x:v>
      </x:c>
      <x:c r="C5" s="19" t="str">
        <x:v>creamery</x:v>
      </x:c>
      <x:c r="D5" s="19" t="str">
        <x:v>city</x:v>
      </x:c>
      <x:c r="E5" s="19" t="str">
        <x:v>region</x:v>
      </x:c>
      <x:c r="F5" s="19" t="str">
        <x:v>country</x:v>
      </x:c>
      <x:c r="G5" s="19" t="str">
        <x:v>milk_type</x:v>
      </x:c>
      <x:c r="H5" s="19" t="str">
        <x:v>rennet</x:v>
      </x:c>
      <x:c r="I5" s="19" t="str">
        <x:v>cheese_style</x:v>
      </x:c>
      <x:c r="J5" s="19" t="str">
        <x:v>age_description</x:v>
      </x:c>
      <x:c r="K5" s="19" t="str">
        <x:v>flavor_profile</x:v>
      </x:c>
      <x:c r="L5" s="19" t="str">
        <x:v>story_notes</x:v>
      </x:c>
      <x:c r="M5" s="19" t="str">
        <x:v>pairings</x:v>
      </x:c>
      <x:c r="N5" s="19" t="str">
        <x:v>source_document</x:v>
      </x:c>
      <x:c r="O5" s="19" t="str">
        <x:v>source_category</x:v>
      </x:c>
      <x:c r="P5" s="19" t="str">
        <x:v>review_notes</x:v>
      </x:c>
      <x:c r="Q5" s="19" t="str">
        <x:v>import_status</x:v>
      </x:c>
      <x:c r="R5" s="19" t="str">
        <x:v>original_location</x:v>
      </x:c>
      <x:c r="S5" s="19" t="str">
        <x:v>duplicate_check</x:v>
      </x:c>
    </x:row>
    <x:row r="6">
      <x:c r="A6" s="21" t="str">
        <x:v>afterglow</x:v>
      </x:c>
      <x:c r="B6" s="21" t="str">
        <x:v>Afterglow</x:v>
      </x:c>
      <x:c r="C6" s="21" t="str">
        <x:v>Blakesville Creamery</x:v>
      </x:c>
      <x:c r="D6" s="21" t="str">
        <x:v>Port Washington</x:v>
      </x:c>
      <x:c r="E6" s="21" t="str">
        <x:v>Wisconsin</x:v>
      </x:c>
      <x:c r="F6" s="21" t="str">
        <x:v>USA</x:v>
      </x:c>
      <x:c r="G6" s="21" t="str">
        <x:v>Pasteurized Goat</x:v>
      </x:c>
      <x:c r="H6" s="21" t="str">
        <x:v>Animal</x:v>
      </x:c>
      <x:c r="I6" s="21" t="str">
        <x:v>Washed-rind, smear-ripened, uncooked/unpressed, modeled after Langres</x:v>
      </x:c>
      <x:c r="J6" s="21" t="str">
        <x:v>60 days</x:v>
      </x:c>
      <x:c r="K6" s="22" t="str">
        <x:v>lactic, yeasty, tangy, malty, fruity</x:v>
      </x:c>
      <x:c r="L6" s="22" t="str">
        <x:v>Washed in cherry ale and aged to a dense, fudgy texture, Afterglow is a washed-rind goat cheese that brings quiet funk and real character. The beer adds subtle fruit and lift, rounding out the savory depth of Blakesville’s pasture-raised milk. This is the cheese you reach for when you want something bold, but not brash, something that plays well with prosciutto, rye crisps, or tart fruit preserves. It’s structured, aromatic, and always the most talked-about square on the board. Blakesville is known for thoughtful, small-batch cheeses made entirely on their farm using their own Alpine herd. From pasture to cave, everything happens on site, allowing for a level of detail that’s rare, and it shows.</x:v>
      </x:c>
      <x:c r="M6" s="22" t="str">
        <x:v>Cherry ale, cherry juice, rose bubbles, cherry liqueur, cherry cola, cherries!</x:v>
      </x:c>
      <x:c r="N6" s="22" t="str">
        <x:v>Washed Rind Spec Sheets.docx</x:v>
      </x:c>
      <x:c r="O6" s="22" t="str">
        <x:v>Washed Rind</x:v>
      </x:c>
      <x:c r="P6" s="22" t="str"/>
      <x:c r="Q6" s="21" t="str">
        <x:f>IF(P6="","Ready","Needs review")</x:f>
        <x:v>Ready</x:v>
      </x:c>
      <x:c r="R6" s="22" t="str">
        <x:v>Port Washington, Wisconsin</x:v>
      </x:c>
      <x:c r="S6" s="21" t="str">
        <x:f>IF(COUNTIF($A$6:$A$120,A6)&gt;1,"Duplicate","Unique")</x:f>
        <x:v>Unique</x:v>
      </x:c>
    </x:row>
    <x:row r="7">
      <x:c r="A7" s="21" t="str">
        <x:v>barista</x:v>
      </x:c>
      <x:c r="B7" s="21" t="str">
        <x:v>Barista</x:v>
      </x:c>
      <x:c r="C7" s="21" t="str">
        <x:v>Kaasboerderij’t Groendal</x:v>
      </x:c>
      <x:c r="D7" s="21" t="str">
        <x:v>Not provided by creamery</x:v>
      </x:c>
      <x:c r="E7" s="21" t="str">
        <x:v>Roeselare</x:v>
      </x:c>
      <x:c r="F7" s="21" t="str">
        <x:v>Belgium</x:v>
      </x:c>
      <x:c r="G7" s="21" t="str">
        <x:v>Pasteurized cow</x:v>
      </x:c>
      <x:c r="H7" s="21" t="str">
        <x:v>Animal</x:v>
      </x:c>
      <x:c r="I7" s="21" t="str">
        <x:v>Washed rind/Treated Rind</x:v>
      </x:c>
      <x:c r="J7" s="21" t="str">
        <x:v>18 months</x:v>
      </x:c>
      <x:c r="K7" s="22" t="str">
        <x:v>Smooth, buttery, coffee</x:v>
      </x:c>
      <x:c r="L7" s="22" t="str">
        <x:v>Kaasboerderij 't Groendal is a cheese producer located in Belgium, specifically in the region of West Flanders. The dairy farm focuses on producing artisanal cheeses using milk from their own herd of cows. Their product range includes several types of Gouda, including unique varieties infused with herbs and other flavors. The farm is operated by the family Desmet. This cheese starts as an Abbey-style, washed rind cheese that gets treated with coffee grounds and possesses a layer of coffee grounds in the center.</x:v>
      </x:c>
      <x:c r="M7" s="22" t="str">
        <x:v>Drinking chocolate, cinnamon tea, White Russian, Effie’s biscuits</x:v>
      </x:c>
      <x:c r="N7" s="22" t="str">
        <x:v>Washed Rind Spec Sheets.docx</x:v>
      </x:c>
      <x:c r="O7" s="22" t="str">
        <x:v>Washed Rind</x:v>
      </x:c>
      <x:c r="P7" s="22" t="str"/>
      <x:c r="Q7" s="21" t="str">
        <x:f>IF(P7="","Ready","Needs review")</x:f>
        <x:v>Ready</x:v>
      </x:c>
      <x:c r="R7" s="22" t="str">
        <x:v>Roeselare, Belgium</x:v>
      </x:c>
      <x:c r="S7" s="21" t="str">
        <x:f>IF(COUNTIF($A$6:$A$120,A7)&gt;1,"Duplicate","Unique")</x:f>
        <x:v>Unique</x:v>
      </x:c>
    </x:row>
    <x:row r="8">
      <x:c r="A8" s="21" t="str">
        <x:v>cabricafe</x:v>
      </x:c>
      <x:c r="B8" s="21" t="str">
        <x:v>Cabricafe</x:v>
      </x:c>
      <x:c r="C8" s="21" t="str">
        <x:v>La Fermier de Mean</x:v>
      </x:c>
      <x:c r="D8" s="21" t="str">
        <x:v>Not provided by creamery</x:v>
      </x:c>
      <x:c r="E8" s="21" t="str">
        <x:v>Ardenne</x:v>
      </x:c>
      <x:c r="F8" s="21" t="str">
        <x:v>Belgium</x:v>
      </x:c>
      <x:c r="G8" s="21" t="str">
        <x:v>Raw Goat’s milk</x:v>
      </x:c>
      <x:c r="H8" s="21" t="str">
        <x:v>traditional</x:v>
      </x:c>
      <x:c r="I8" s="21" t="str">
        <x:v>semi-soft, washed rind</x:v>
      </x:c>
      <x:c r="J8" s="21" t="str">
        <x:v>unknown</x:v>
      </x:c>
      <x:c r="K8" s="22" t="str">
        <x:v>Roast Coffee, Heavy Cream, Sourdough, Yeast</x:v>
      </x:c>
      <x:c r="L8" s="22" t="str">
        <x:v>This raw goat cheese is washed with crushed coffee beans. It has semi-soft texture that is sometimes custardy soft and sometimes a touch more firm with a full flavor that's fruity, meaty yeasty. It is a very unique cheese</x:v>
      </x:c>
      <x:c r="M8" s="22" t="str">
        <x:v>coffee with milk, shortbread cookies</x:v>
      </x:c>
      <x:c r="N8" s="22" t="str">
        <x:v>Washed Rind Spec Sheets.docx</x:v>
      </x:c>
      <x:c r="O8" s="22" t="str">
        <x:v>Washed Rind</x:v>
      </x:c>
      <x:c r="P8" s="22" t="str"/>
      <x:c r="Q8" s="21" t="str">
        <x:f>IF(P8="","Ready","Needs review")</x:f>
        <x:v>Ready</x:v>
      </x:c>
      <x:c r="R8" s="22" t="str">
        <x:v>Ardenne, Belgium</x:v>
      </x:c>
      <x:c r="S8" s="21" t="str">
        <x:f>IF(COUNTIF($A$6:$A$120,A8)&gt;1,"Duplicate","Unique")</x:f>
        <x:v>Unique</x:v>
      </x:c>
    </x:row>
    <x:row r="9">
      <x:c r="A9" s="21" t="str">
        <x:v>langres-pronounced-long-wruh</x:v>
      </x:c>
      <x:c r="B9" s="21" t="str">
        <x:v>Langres (pronounced long-wruh)</x:v>
      </x:c>
      <x:c r="C9" s="21" t="str">
        <x:v>Fromagerie Germain</x:v>
      </x:c>
      <x:c r="D9" s="21" t="str">
        <x:v>Not provided by creamery</x:v>
      </x:c>
      <x:c r="E9" s="21" t="str">
        <x:v>Champagne-Ardenne region in</x:v>
      </x:c>
      <x:c r="F9" s="21" t="str">
        <x:v>France</x:v>
      </x:c>
      <x:c r="G9" s="21" t="str">
        <x:v>Pasteurized Cow</x:v>
      </x:c>
      <x:c r="H9" s="21" t="str">
        <x:v>Animal</x:v>
      </x:c>
      <x:c r="I9" s="21" t="str">
        <x:v>Washed-Rind, Smear-ripened, Uncooked/unpressed</x:v>
      </x:c>
      <x:c r="J9" s="21" t="str">
        <x:v>Minimum 21 days</x:v>
      </x:c>
      <x:c r="K9" s="22" t="str">
        <x:v>Doughy, pungent, lactic, tangy, buttermilky</x:v>
      </x:c>
      <x:c r="L9" s="22" t="str">
        <x:v>Langres was declared CDO (Certified Designation of Origin) in 1991 then PDO (Protected Designation of Origin) in 2012. The Langres AOP Germain is a cheese made from cow’s milk with a soft centre and a washed rind. The cheese is matured according to a ver y demanding method of successive washings which gives it a beautiful orange colour. It's a cheese that has a pungent, intense and characteristic aroma which gives way to a fairly mild taste. The Langres AOP Germain is the leading Langres cheese in the world.</x:v>
      </x:c>
      <x:c r="M9" s="22" t="str">
        <x:v>Puligny-Montrachet, autolytic bubbles, Gose, apple juice, apples, grapes, sourdough bread, saussicon sec, traditionally paired with bubbles into the concave part, but most of us agree that it makes the cheese slimy and gross–best have the bubbles on the side</x:v>
      </x:c>
      <x:c r="N9" s="22" t="str">
        <x:v>Washed Rind Spec Sheets.docx</x:v>
      </x:c>
      <x:c r="O9" s="22" t="str">
        <x:v>Washed Rind</x:v>
      </x:c>
      <x:c r="P9" s="22" t="str"/>
      <x:c r="Q9" s="21" t="str">
        <x:f>IF(P9="","Ready","Needs review")</x:f>
        <x:v>Ready</x:v>
      </x:c>
      <x:c r="R9" s="22" t="str">
        <x:v>Champagne-Ardenne region in France</x:v>
      </x:c>
      <x:c r="S9" s="21" t="str">
        <x:f>IF(COUNTIF($A$6:$A$120,A9)&gt;1,"Duplicate","Unique")</x:f>
        <x:v>Unique</x:v>
      </x:c>
    </x:row>
    <x:row r="10">
      <x:c r="A10" s="21" t="str">
        <x:v>le-bruzy</x:v>
      </x:c>
      <x:c r="B10" s="21" t="str">
        <x:v>Le Bruzy</x:v>
      </x:c>
      <x:c r="C10" s="21" t="str">
        <x:v>La Fermière de Mean</x:v>
      </x:c>
      <x:c r="D10" s="21" t="str">
        <x:v>Not provided by creamery</x:v>
      </x:c>
      <x:c r="E10" s="21" t="str">
        <x:v>Southeast</x:v>
      </x:c>
      <x:c r="F10" s="21" t="str">
        <x:v>Belgium</x:v>
      </x:c>
      <x:c r="G10" s="21" t="str">
        <x:v>Raw Cow</x:v>
      </x:c>
      <x:c r="H10" s="21" t="str">
        <x:v>Animal</x:v>
      </x:c>
      <x:c r="I10" s="21" t="str">
        <x:v>Washed Rind/Trappist</x:v>
      </x:c>
      <x:c r="J10" s="21" t="str">
        <x:v>4-5 weeks</x:v>
      </x:c>
      <x:c r="K10" s="22" t="str">
        <x:v>Tart, pungent, buttermilk, meaty, springy textured</x:v>
      </x:c>
      <x:c r="L10" s="22" t="str">
        <x:v>La Fermière de Mean is a cooperative dairy farm located in southeastern Belgium, founded in 1986. The farm aims to raise animals in a humane manner and operate their farms in an environmentally sound way. They produce a variety of cheeses, including Cabricharme. Le Bruzy is a Trappist style cheese, made in the traditional style that is tried and true.</x:v>
      </x:c>
      <x:c r="M10" s="22" t="str">
        <x:v>Trappist ale, apples, pears, cured meat, crusty bread, dry cider</x:v>
      </x:c>
      <x:c r="N10" s="22" t="str">
        <x:v>Washed Rind Spec Sheets.docx</x:v>
      </x:c>
      <x:c r="O10" s="22" t="str">
        <x:v>Washed Rind</x:v>
      </x:c>
      <x:c r="P10" s="22" t="str"/>
      <x:c r="Q10" s="21" t="str">
        <x:f>IF(P10="","Ready","Needs review")</x:f>
        <x:v>Ready</x:v>
      </x:c>
      <x:c r="R10" s="22" t="str">
        <x:v>Southeast Belgium</x:v>
      </x:c>
      <x:c r="S10" s="21" t="str">
        <x:f>IF(COUNTIF($A$6:$A$120,A10)&gt;1,"Duplicate","Unique")</x:f>
        <x:v>Unique</x:v>
      </x:c>
    </x:row>
    <x:row r="11">
      <x:c r="A11" s="21" t="str">
        <x:v>mild-brick</x:v>
      </x:c>
      <x:c r="B11" s="21" t="str">
        <x:v>Mild Brick</x:v>
      </x:c>
      <x:c r="C11" s="21" t="str">
        <x:v>Widmer’s Cheese Cellars</x:v>
      </x:c>
      <x:c r="D11" s="21" t="str">
        <x:v>Theresa</x:v>
      </x:c>
      <x:c r="E11" s="21" t="str">
        <x:v>WI</x:v>
      </x:c>
      <x:c r="F11" s="21" t="str">
        <x:v>USA</x:v>
      </x:c>
      <x:c r="G11" s="21" t="str">
        <x:v>pasteurized, cow’s milk</x:v>
      </x:c>
      <x:c r="H11" s="21" t="str">
        <x:v>traditional</x:v>
      </x:c>
      <x:c r="I11" s="21" t="str">
        <x:v>american original, washed rind</x:v>
      </x:c>
      <x:c r="J11" s="21" t="str">
        <x:v>1-3 months</x:v>
      </x:c>
      <x:c r="K11" s="22" t="str">
        <x:v>Tangy, Savory, Roasted Nuts</x:v>
      </x:c>
      <x:c r="L11" s="22" t="str">
        <x:v>this cheese is totally unique and an american original. Brick cheese gets its name from the bricks used to weigh down blocks of this iconic Wisconsin original when it was first developed by Swiss immigrant John Jossi in 1877. Widmers has been producing cheese since 1922. They still use bricks in their production</x:v>
      </x:c>
      <x:c r="M11" s="22" t="str">
        <x:v>hot honey, peanuts, apple soda, sweet vermouth, grilled cheese, tomato soup. Traditionally for Detroit style pizza</x:v>
      </x:c>
      <x:c r="N11" s="22" t="str">
        <x:v>Washed Rind Spec Sheets.docx</x:v>
      </x:c>
      <x:c r="O11" s="22" t="str">
        <x:v>Washed Rind</x:v>
      </x:c>
      <x:c r="P11" s="22" t="str"/>
      <x:c r="Q11" s="21" t="str">
        <x:f>IF(P11="","Ready","Needs review")</x:f>
        <x:v>Ready</x:v>
      </x:c>
      <x:c r="R11" s="22" t="str">
        <x:v>Theresa, WI</x:v>
      </x:c>
      <x:c r="S11" s="21" t="str">
        <x:f>IF(COUNTIF($A$6:$A$120,A11)&gt;1,"Duplicate","Unique")</x:f>
        <x:v>Unique</x:v>
      </x:c>
    </x:row>
    <x:row r="12">
      <x:c r="A12" s="21" t="str">
        <x:v>munster</x:v>
      </x:c>
      <x:c r="B12" s="21" t="str">
        <x:v>Munster</x:v>
      </x:c>
      <x:c r="C12" s="21" t="str">
        <x:v>Grand Pere Fischer</x:v>
      </x:c>
      <x:c r="D12" s="21" t="str">
        <x:v>Not provided by creamery</x:v>
      </x:c>
      <x:c r="E12" s="21" t="str">
        <x:v>Alsace</x:v>
      </x:c>
      <x:c r="F12" s="21" t="str">
        <x:v>France</x:v>
      </x:c>
      <x:c r="G12" s="21" t="str">
        <x:v>Pasteurized</x:v>
      </x:c>
      <x:c r="H12" s="21" t="str">
        <x:v>Animal</x:v>
      </x:c>
      <x:c r="I12" s="21" t="str">
        <x:v>Washed rind, Trappist-style</x:v>
      </x:c>
      <x:c r="J12" s="21" t="str">
        <x:v>Minimum 3 weeks</x:v>
      </x:c>
      <x:c r="K12" s="22" t="str">
        <x:v>Pungent aroma, meaty, forest floor, rich</x:v>
      </x:c>
      <x:c r="L12" s="22" t="str">
        <x:v>During the Second World War (1939-1945), this aging space was used as a shelter. This past gives it a rare heritage character: thick walls, a naturally low and constant temperature, and an atmosphere that directly contributes to the quality of our maturations. Munster is a soft, washed-rind cheese from the Vosges, Alsace and Lorraine. Made from cow's milk, it is matured in the cellar with a humidity of over 98%, which gives it an orange rind and a marked smell. Its paste is supple, melting and its taste powerful, but balanced, with aromas of undergrowth. Munster has an AOP (Protected Designation of Origin) and is often eaten with potatoes or cumin.</x:v>
      </x:c>
      <x:c r="M12" s="22" t="str">
        <x:v>Ale, Alsatian Riesling, Gewurtztraminer, earthy Pinot Noir, cured meats, grapes</x:v>
      </x:c>
      <x:c r="N12" s="22" t="str">
        <x:v>Washed Rind Spec Sheets.docx</x:v>
      </x:c>
      <x:c r="O12" s="22" t="str">
        <x:v>Washed Rind</x:v>
      </x:c>
      <x:c r="P12" s="22" t="str">
        <x:v>Milk type should be verified</x:v>
      </x:c>
      <x:c r="Q12" s="21" t="str">
        <x:f>IF(P12="","Ready","Needs review")</x:f>
        <x:v>Needs review</x:v>
      </x:c>
      <x:c r="R12" s="22" t="str">
        <x:v>Alsace, France</x:v>
      </x:c>
      <x:c r="S12" s="21" t="str">
        <x:f>IF(COUNTIF($A$6:$A$120,A12)&gt;1,"Duplicate","Unique")</x:f>
        <x:v>Unique</x:v>
      </x:c>
    </x:row>
    <x:row r="13">
      <x:c r="A13" s="21" t="str">
        <x:v>nabbabo</x:v>
      </x:c>
      <x:c r="B13" s="21" t="str">
        <x:v>Nabbabo</x:v>
      </x:c>
      <x:c r="C13" s="21" t="str">
        <x:v>CasArrigoni</x:v>
      </x:c>
      <x:c r="D13" s="21" t="str">
        <x:v>Valtaleggio</x:v>
      </x:c>
      <x:c r="E13" s="21" t="str">
        <x:v>Lombardy</x:v>
      </x:c>
      <x:c r="F13" s="21" t="str">
        <x:v>Italy</x:v>
      </x:c>
      <x:c r="G13" s="21" t="str">
        <x:v>Pasteurized Goat</x:v>
      </x:c>
      <x:c r="H13" s="21" t="str">
        <x:v>Animal</x:v>
      </x:c>
      <x:c r="I13" s="21" t="str">
        <x:v>Washed Rind</x:v>
      </x:c>
      <x:c r="J13" s="21" t="str">
        <x:v>40 days</x:v>
      </x:c>
      <x:c r="K13" s="22" t="str">
        <x:v>Pungent, tart, buttermilky, rich, meltable, funky</x:v>
      </x:c>
      <x:c r="L13" s="22" t="str">
        <x:v>A washed-rind cheese that is slightly pink in color. On the inside, the paste is the bright white characteristic of soft goat cheese. Nababbo has a creamy and supple texture that closely resembles typical Lombard cheeses. It is aged in our cellars for over 40 days. The result has a mild, buttery and rich flavor that retains the distinctive aftertaste of goat’s milk with a hint of bitterness, also typical of goat cheese. Coming from the same place where Taleggio is made, this cheese is made in the same style, but with goat’s milk.</x:v>
      </x:c>
      <x:c r="M13" s="22" t="str">
        <x:v>Valtellina, malty beer, Pinot Grigio, cured meats</x:v>
      </x:c>
      <x:c r="N13" s="22" t="str">
        <x:v>Washed Rind Spec Sheets.docx</x:v>
      </x:c>
      <x:c r="O13" s="22" t="str">
        <x:v>Washed Rind</x:v>
      </x:c>
      <x:c r="P13" s="22" t="str"/>
      <x:c r="Q13" s="21" t="str">
        <x:f>IF(P13="","Ready","Needs review")</x:f>
        <x:v>Ready</x:v>
      </x:c>
      <x:c r="R13" s="22" t="str">
        <x:v>Valtaleggio, Lombardy, Italy</x:v>
      </x:c>
      <x:c r="S13" s="21" t="str">
        <x:f>IF(COUNTIF($A$6:$A$120,A13)&gt;1,"Duplicate","Unique")</x:f>
        <x:v>Unique</x:v>
      </x:c>
    </x:row>
    <x:row r="14">
      <x:c r="A14" s="21" t="str">
        <x:v>oma</x:v>
      </x:c>
      <x:c r="B14" s="21" t="str">
        <x:v>Oma</x:v>
      </x:c>
      <x:c r="C14" s="21" t="str">
        <x:v>Von Trapp Farmstead</x:v>
      </x:c>
      <x:c r="D14" s="21" t="str">
        <x:v>Waitsfield</x:v>
      </x:c>
      <x:c r="E14" s="21" t="str">
        <x:v>Vermont</x:v>
      </x:c>
      <x:c r="F14" s="21" t="str">
        <x:v>USA</x:v>
      </x:c>
      <x:c r="G14" s="21" t="str">
        <x:v>Pasteurized, organic cow’s milk</x:v>
      </x:c>
      <x:c r="H14" s="21" t="str">
        <x:v>Animal</x:v>
      </x:c>
      <x:c r="I14" s="21" t="str">
        <x:v>Smear-ripened, washed-rind, uncooked/unpressed</x:v>
      </x:c>
      <x:c r="J14" s="21" t="str">
        <x:v>60-90 days</x:v>
      </x:c>
      <x:c r="K14" s="22" t="str">
        <x:v>Beefy, earthy, buttery, rich, pungent</x:v>
      </x:c>
      <x:c r="L14" s="22" t="str">
        <x:v>Our family has run the von Trapp Farmstead since 1959, when Werner and Erika von Trapp moved to Waitsfield, Vermont to grow crops and raise livestock, and to build a sustainable future for their children. Today, we make award winning cheese, organic yogurt, and pastured meat from our regeneratively raised cows and pigs. We believe that wholesome, flavorful food begins with healthy soil and animals. Our products are infused with a deep appreciation &amp; desire to honor the land and cows that allow us to practice our craft. Sebastian von Trapp grew up on the family farm, with his Opa and Oma (Werner and Erika) living just down the road. His parents, Martin and Kelly, ran the farm and dairy, selling their milk to local buyers at whatever price was set by the whims of the global dairy market. In 2007, he began construction on a creamery for making cheese out of the farm’s milk, with the goal of creating more sustainable income for the farm. The von Trapp Farmstead started making cheese in 2009. Molly Semler grew up in Middlesex, Vermont and returned to the state to follow her passion for making cheese. She started working on the farm over a decade ago, and over the course of making cheese together, she and Sebastian fell in love. (Cheesy, but true!) Sebastian currently runs the farm while Molly operates the creamery.</x:v>
      </x:c>
      <x:c r="M14" s="22" t="str">
        <x:v>Earthy, herbaceous red wines, funky ale, sidra, cherry cola, birch beer, smokey scotch, gherkins, salami</x:v>
      </x:c>
      <x:c r="N14" s="22" t="str">
        <x:v>Washed Rind Spec Sheets.docx</x:v>
      </x:c>
      <x:c r="O14" s="22" t="str">
        <x:v>Washed Rind</x:v>
      </x:c>
      <x:c r="P14" s="22" t="str"/>
      <x:c r="Q14" s="21" t="str">
        <x:f>IF(P14="","Ready","Needs review")</x:f>
        <x:v>Ready</x:v>
      </x:c>
      <x:c r="R14" s="22" t="str">
        <x:v>Waitsfield, Vermont</x:v>
      </x:c>
      <x:c r="S14" s="21" t="str">
        <x:f>IF(COUNTIF($A$6:$A$120,A14)&gt;1,"Duplicate","Unique")</x:f>
        <x:v>Unique</x:v>
      </x:c>
    </x:row>
    <x:row r="15">
      <x:c r="A15" s="21" t="str">
        <x:v>opa</x:v>
      </x:c>
      <x:c r="B15" s="21" t="str">
        <x:v>Opa</x:v>
      </x:c>
      <x:c r="C15" s="21" t="str">
        <x:v>Von Trapp Farmstead</x:v>
      </x:c>
      <x:c r="D15" s="21" t="str">
        <x:v>Waitsfield</x:v>
      </x:c>
      <x:c r="E15" s="21" t="str">
        <x:v>Vermont</x:v>
      </x:c>
      <x:c r="F15" s="21" t="str">
        <x:v>USA</x:v>
      </x:c>
      <x:c r="G15" s="21" t="str">
        <x:v>Pasteurized Cow</x:v>
      </x:c>
      <x:c r="H15" s="21" t="str">
        <x:v>Animal</x:v>
      </x:c>
      <x:c r="I15" s="21" t="str">
        <x:v>Smear-ripened, washed rind, uncooked/unpressed</x:v>
      </x:c>
      <x:c r="J15" s="21" t="str">
        <x:v>60-90 days</x:v>
      </x:c>
      <x:c r="K15" s="22" t="str">
        <x:v>Beefy, earthy, buttery, rich, pungent</x:v>
      </x:c>
      <x:c r="L15" s="22" t="str">
        <x:v>Our family has run the von Trapp Farmstead since 1959, when Werner and Erika von Trapp moved to Waitsfield, Vermont to grow crops and raise livestock, and to build a sustainable future for their children. Today, we make award winning cheese, organic yogurt, and pastured meat from our regeneratively raised cows and pigs. We believe that wholesome, flavorful food begins with healthy soil and animals. Our products are infused with a deep appreciation &amp; desire to honor the land and cows that allow us to practice our craft. Sebastian von Trapp grew up on the family farm, with his Opa and Oma (Werner and Erika) living just down the road. His parents, Martin and Kelly, ran the farm and dairy, selling their milk to local buyers at whatever price was set by the whims of the global dairy market. In 2007, he began construction on a creamery for making cheese out of the farm’s milk, with the goal of creating more sustainable income for the farm. The von Trapp Farmstead started making cheese in 2009. Molly Semler grew up in Middlesex, Vermont and returned to the state to follow her passion for making cheese. She started working on the farm over a decade ago, and over the course of making cheese together, she and Sebastian fell in love. (Cheesy, but true!) Sebastian currently runs the farm while Molly operates the creamery.</x:v>
      </x:c>
      <x:c r="M15" s="22" t="str">
        <x:v>Earthy, herbaceous red wines, funky ale, sidra, cherry cola, birch beer, smokey scotch, gherkins, salami</x:v>
      </x:c>
      <x:c r="N15" s="22" t="str">
        <x:v>Washed Rind Spec Sheets.docx</x:v>
      </x:c>
      <x:c r="O15" s="22" t="str">
        <x:v>Washed Rind</x:v>
      </x:c>
      <x:c r="P15" s="22" t="str"/>
      <x:c r="Q15" s="21" t="str">
        <x:f>IF(P15="","Ready","Needs review")</x:f>
        <x:v>Ready</x:v>
      </x:c>
      <x:c r="R15" s="22" t="str">
        <x:v>Waitsfield, Vermont</x:v>
      </x:c>
      <x:c r="S15" s="21" t="str">
        <x:f>IF(COUNTIF($A$6:$A$120,A15)&gt;1,"Duplicate","Unique")</x:f>
        <x:v>Unique</x:v>
      </x:c>
    </x:row>
    <x:row r="16">
      <x:c r="A16" s="21" t="str">
        <x:v>pawlet</x:v>
      </x:c>
      <x:c r="B16" s="21" t="str">
        <x:v>Pawlet</x:v>
      </x:c>
      <x:c r="C16" s="21" t="str">
        <x:v>Woodlawn Creamery</x:v>
      </x:c>
      <x:c r="D16" s="21" t="str">
        <x:v>Pawlet</x:v>
      </x:c>
      <x:c r="E16" s="21" t="str">
        <x:v>Vermont</x:v>
      </x:c>
      <x:c r="F16" s="21" t="str">
        <x:v>USA</x:v>
      </x:c>
      <x:c r="G16" s="21" t="str">
        <x:v>Raw Cow</x:v>
      </x:c>
      <x:c r="H16" s="21" t="str">
        <x:v>Animal</x:v>
      </x:c>
      <x:c r="I16" s="21" t="str">
        <x:v>Washed rind, Italian Toma</x:v>
      </x:c>
      <x:c r="J16" s="21" t="str">
        <x:v>3-6 months</x:v>
      </x:c>
      <x:c r="K16" s="22" t="str">
        <x:v>Mild, grassy, browned butter, raw nuts</x:v>
      </x:c>
      <x:c r="L16" s="22" t="str">
        <x:v>Pawlet is named for the small town in Vermont’s Mettawee Valley where the Leach family has farmed for 7 generations. Chartered in 1761 as part of the New Hampshire Grants, Pawlet expanded after the Revolutionary War, when soldiers who had noted its agricultural promise on their way to halt Burgoyne’s march from Canada returned with their families to farm what the Narragansett called the “valley of black earth.” Pawlet the cheese reflects that rich agricultural history, made with milk from our Registered Holstein herd that is born, fed, pastured, and milked right here at home. The result tastes like our valley—rich, grassy, earthy, and beautiful.</x:v>
      </x:c>
      <x:c r="M16" s="22" t="str">
        <x:v>Great for cooking–gratins, grilled cheese, etc. Pecans, apples, ciders, fruity liqueurs, pomegranate juice, fresh cherries, pickles, cured meats</x:v>
      </x:c>
      <x:c r="N16" s="22" t="str">
        <x:v>Washed Rind Spec Sheets.docx</x:v>
      </x:c>
      <x:c r="O16" s="22" t="str">
        <x:v>Washed Rind</x:v>
      </x:c>
      <x:c r="P16" s="22" t="str"/>
      <x:c r="Q16" s="21" t="str">
        <x:f>IF(P16="","Ready","Needs review")</x:f>
        <x:v>Ready</x:v>
      </x:c>
      <x:c r="R16" s="22" t="str">
        <x:v>Pawlet, Vermont</x:v>
      </x:c>
      <x:c r="S16" s="21" t="str">
        <x:f>IF(COUNTIF($A$6:$A$120,A16)&gt;1,"Duplicate","Unique")</x:f>
        <x:v>Unique</x:v>
      </x:c>
    </x:row>
    <x:row r="17">
      <x:c r="A17" s="21" t="str">
        <x:v>smorbier</x:v>
      </x:c>
      <x:c r="B17" s="21" t="str">
        <x:v>Smorbier</x:v>
      </x:c>
      <x:c r="C17" s="21" t="str">
        <x:v>High Lawn Farm</x:v>
      </x:c>
      <x:c r="D17" s="21" t="str">
        <x:v>Lee</x:v>
      </x:c>
      <x:c r="E17" s="21" t="str">
        <x:v>Massachusetts</x:v>
      </x:c>
      <x:c r="F17" s="21" t="str">
        <x:v>USA</x:v>
      </x:c>
      <x:c r="G17" s="21" t="str">
        <x:v>Pasteurized cow</x:v>
      </x:c>
      <x:c r="H17" s="21" t="str">
        <x:v>Animal</x:v>
      </x:c>
      <x:c r="I17" s="21" t="str">
        <x:v>Washed curd, washed rind</x:v>
      </x:c>
      <x:c r="J17" s="21" t="str">
        <x:v>2-4 months</x:v>
      </x:c>
      <x:c r="K17" s="22" t="str">
        <x:v>Bovine, spicy, smokey, meltable</x:v>
      </x:c>
      <x:c r="L17" s="22" t="str">
        <x:v>High Lawn Farm takes particular pride in the care of their cows. Since their grandparents decided, back in the 1920s, to build a dairy farm of only Jersey cows, their passion has been achieving excellence in all regards, from respecting the Jersey heritage and breeding to the quality of milk produced at the farm. Smorbier is a take on the French classic, Morbier, which is a washed rind cow’s milk cheese with a layer of ash in the middle. It was originally made by farmers/cheese producers for themselves with milk that was left over from Comté production. Instead of an ash layer, this cheese has a line of locally sourced peppers that impart a smokey, spicy kick that is balanced by the creamy, rich paste.</x:v>
      </x:c>
      <x:c r="M17" s="22" t="str">
        <x:v>Acidic white wine with a little residual sugar, sweet cider, ale, cured meat, apples, potato chips</x:v>
      </x:c>
      <x:c r="N17" s="22" t="str">
        <x:v>Washed Rind Spec Sheets.docx</x:v>
      </x:c>
      <x:c r="O17" s="22" t="str">
        <x:v>Washed Rind</x:v>
      </x:c>
      <x:c r="P17" s="22" t="str"/>
      <x:c r="Q17" s="21" t="str">
        <x:f>IF(P17="","Ready","Needs review")</x:f>
        <x:v>Ready</x:v>
      </x:c>
      <x:c r="R17" s="22" t="str">
        <x:v>Lee, Massachusetts</x:v>
      </x:c>
      <x:c r="S17" s="21" t="str">
        <x:f>IF(COUNTIF($A$6:$A$120,A17)&gt;1,"Duplicate","Unique")</x:f>
        <x:v>Unique</x:v>
      </x:c>
    </x:row>
    <x:row r="18">
      <x:c r="A18" s="21" t="str">
        <x:v>winnimere</x:v>
      </x:c>
      <x:c r="B18" s="21" t="str">
        <x:v>Winnimere</x:v>
      </x:c>
      <x:c r="C18" s="21" t="str">
        <x:v>Jasper Hill Farms</x:v>
      </x:c>
      <x:c r="D18" s="21" t="str">
        <x:v>Greensboro</x:v>
      </x:c>
      <x:c r="E18" s="21" t="str">
        <x:v>Vermont</x:v>
      </x:c>
      <x:c r="F18" s="21" t="str">
        <x:v>USA</x:v>
      </x:c>
      <x:c r="G18" s="21" t="str">
        <x:v>Raw Cow</x:v>
      </x:c>
      <x:c r="H18" s="21" t="str">
        <x:v>Animal</x:v>
      </x:c>
      <x:c r="I18" s="21" t="str">
        <x:v>Bark-wrapped washed-rind (smear-ripened), uncooked/unpressed</x:v>
      </x:c>
      <x:c r="J18" s="21" t="str">
        <x:v>60 days</x:v>
      </x:c>
      <x:c r="K18" s="22" t="str">
        <x:v>bacon, woodsy, dusty, peanut shell, smoked brisket, savory custard</x:v>
      </x:c>
      <x:c r="L18" s="22" t="str">
        <x:v>WINNIMERE is a take on Jura Mountain classics like Vacherin Mont d’Or or Försterkäse. In keeping with tradition, this decadent cheese is made only during winter months when Jasper Hill’s Ayrshire cows are giving rich, hay-fed raw milk. Winnimere is named for the corner of Caspian Lake where the Kehlers’ grandfather had an ice fishing shack. Young cheeses are wrapped in strips of spruce cambium, the tree’s flexible inner bark layer, harvested from Jasper Hill Farm’s woodlands. During aging, the cheese is washed in a cultured salt brine to help even rind development. At 60 days, this cheese is spoonably soft and tastes of bacon, sweet cream, and spruce.</x:v>
      </x:c>
      <x:c r="M18" s="22" t="str">
        <x:v>fresh, crusty bread, roasted brussels sprouts, fried potatoes, crudite, old world Pinot Noir, Rioja, bubbles, herbal tea</x:v>
      </x:c>
      <x:c r="N18" s="22" t="str">
        <x:v>Washed Rind Spec Sheets.docx</x:v>
      </x:c>
      <x:c r="O18" s="22" t="str">
        <x:v>Washed Rind</x:v>
      </x:c>
      <x:c r="P18" s="22" t="str"/>
      <x:c r="Q18" s="21" t="str">
        <x:f>IF(P18="","Ready","Needs review")</x:f>
        <x:v>Ready</x:v>
      </x:c>
      <x:c r="R18" s="22" t="str">
        <x:v>Greensboro, Vermont</x:v>
      </x:c>
      <x:c r="S18" s="21" t="str">
        <x:f>IF(COUNTIF($A$6:$A$120,A18)&gt;1,"Duplicate","Unique")</x:f>
        <x:v>Unique</x:v>
      </x:c>
    </x:row>
    <x:row r="19">
      <x:c r="A19" s="21" t="str">
        <x:v>appalachian</x:v>
      </x:c>
      <x:c r="B19" s="21" t="str">
        <x:v>Appalachian</x:v>
      </x:c>
      <x:c r="C19" s="21" t="str">
        <x:v>Meadow Creek Dairy</x:v>
      </x:c>
      <x:c r="D19" s="21" t="str">
        <x:v>Galax</x:v>
      </x:c>
      <x:c r="E19" s="21" t="str">
        <x:v>VA</x:v>
      </x:c>
      <x:c r="F19" s="21" t="str">
        <x:v>USA</x:v>
      </x:c>
      <x:c r="G19" s="21" t="str">
        <x:v>raw, cow’s milk</x:v>
      </x:c>
      <x:c r="H19" s="21" t="str">
        <x:v>traditional</x:v>
      </x:c>
      <x:c r="I19" s="21" t="str">
        <x:v>tomme</x:v>
      </x:c>
      <x:c r="J19" s="21" t="str">
        <x:v>4-5 months</x:v>
      </x:c>
      <x:c r="K19" s="22" t="str">
        <x:v>Earthy, Velvety, Fresh, white mushrooms</x:v>
      </x:c>
      <x:c r="L19" s="22" t="str">
        <x:v>From Meadow Creek Dairy, Appalachian is in a cheese in the style of tomme de savoie. Meadow Creek is a farm and dairy focused on great genetics, they’ve been refining their herd since 1988. They also only graze on grass and don’t pasteurize any of their milk. Cheese is only made from mid-March through November. Meadow Creek is owned by the Feete Family; it is in the mountains of southwest Virginia. At an elevation of 2,800 feet, the clean water, clean air, and deep soils produce an ideal environment for growing diverse, rich pastures. This cheese requires some salesmanship so make sure to emphasize how cool the creamery is !</x:v>
      </x:c>
      <x:c r="M19" s="22" t="str">
        <x:v>Pinot gris, ramatos, lagers</x:v>
      </x:c>
      <x:c r="N19" s="22" t="str">
        <x:v>Tomme Style Spec Sheets.docx</x:v>
      </x:c>
      <x:c r="O19" s="22" t="str">
        <x:v>Tomme Style</x:v>
      </x:c>
      <x:c r="P19" s="22" t="str"/>
      <x:c r="Q19" s="21" t="str">
        <x:f>IF(P19="","Ready","Needs review")</x:f>
        <x:v>Ready</x:v>
      </x:c>
      <x:c r="R19" s="22" t="str">
        <x:v>Galax, VA</x:v>
      </x:c>
      <x:c r="S19" s="21" t="str">
        <x:f>IF(COUNTIF($A$6:$A$120,A19)&gt;1,"Duplicate","Unique")</x:f>
        <x:v>Unique</x:v>
      </x:c>
    </x:row>
    <x:row r="20">
      <x:c r="A20" s="21" t="str">
        <x:v>coppinger</x:v>
      </x:c>
      <x:c r="B20" s="21" t="str">
        <x:v>Coppinger</x:v>
      </x:c>
      <x:c r="C20" s="21" t="str">
        <x:v>Sequatchie Cove Creamery</x:v>
      </x:c>
      <x:c r="D20" s="21" t="str">
        <x:v>Sequatchie</x:v>
      </x:c>
      <x:c r="E20" s="21" t="str">
        <x:v>TN</x:v>
      </x:c>
      <x:c r="F20" s="21" t="str">
        <x:v>USA</x:v>
      </x:c>
      <x:c r="G20" s="21" t="str">
        <x:v>raw cow’s milk</x:v>
      </x:c>
      <x:c r="H20" s="21" t="str">
        <x:v>traditional</x:v>
      </x:c>
      <x:c r="I20" s="21" t="str">
        <x:v>tomme / alpine / Washed rind</x:v>
      </x:c>
      <x:c r="J20" s="21" t="str">
        <x:v>Not provided in source</x:v>
      </x:c>
      <x:c r="K20" s="22" t="str">
        <x:v>Toasted Almonds, Cream, Yeast</x:v>
      </x:c>
      <x:c r="L20" s="22" t="str">
        <x:v>a Morbier style cheese with a line of vegetable ash through the center. The ash doesn’t add to the flavor, but does enhance the visual of the cheese! Perfect starter cheese with a mild flavor and a semi-firm/firm texture. Also a great melter Sequatchie native, Nathan Arnold, and long-time farmhand of Sequatchie Cove Farm suggested getting dairy cows to make cheese. He and his wife Padgett took trips to France to learn Old World techniques and to learn about traditional French breeds of cows.</x:v>
      </x:c>
      <x:c r="M20" s="22" t="str">
        <x:v>mustards, Summer Sausage, malted beers, lighter reds like beaujolais !</x:v>
      </x:c>
      <x:c r="N20" s="22" t="str">
        <x:v>Tomme Style Spec Sheets.docx</x:v>
      </x:c>
      <x:c r="O20" s="22" t="str">
        <x:v>Tomme Style</x:v>
      </x:c>
      <x:c r="P20" s="22" t="str">
        <x:v>Missing in source: age_description</x:v>
      </x:c>
      <x:c r="Q20" s="21" t="str">
        <x:f>IF(P20="","Ready","Needs review")</x:f>
        <x:v>Needs review</x:v>
      </x:c>
      <x:c r="R20" s="22" t="str">
        <x:v>Sequatchie, TN</x:v>
      </x:c>
      <x:c r="S20" s="21" t="str">
        <x:f>IF(COUNTIF($A$6:$A$120,A20)&gt;1,"Duplicate","Unique")</x:f>
        <x:v>Unique</x:v>
      </x:c>
    </x:row>
    <x:row r="21">
      <x:c r="A21" s="21" t="str">
        <x:v>drunken-goat</x:v>
      </x:c>
      <x:c r="B21" s="21" t="str">
        <x:v>Drunken Goat</x:v>
      </x:c>
      <x:c r="C21" s="21" t="str">
        <x:v>Mitica (the import arm of Forever Cheese)</x:v>
      </x:c>
      <x:c r="D21" s="21" t="str">
        <x:v>Not provided by creamery</x:v>
      </x:c>
      <x:c r="E21" s="21" t="str">
        <x:v>Jumilla</x:v>
      </x:c>
      <x:c r="F21" s="21" t="str">
        <x:v>Spain</x:v>
      </x:c>
      <x:c r="G21" s="21" t="str">
        <x:v>Pasteurized Goat’s Milk</x:v>
      </x:c>
      <x:c r="H21" s="21" t="str">
        <x:v>Traditional</x:v>
      </x:c>
      <x:c r="I21" s="21" t="str">
        <x:v>tomme</x:v>
      </x:c>
      <x:c r="J21" s="21" t="str">
        <x:v>60 days</x:v>
      </x:c>
      <x:c r="K21" s="22" t="str">
        <x:v>Red Wine, Lactic, Sweet Cream</x:v>
      </x:c>
      <x:c r="L21" s="22" t="str">
        <x:v>This is a name branded version of D.O.P Queso de Murcia al Vino. It is a semi-firm goat cheese soaked in the traditional style wine of the region, Doble Pasta, which is made from Monastrell grapes. This is a very starter-friendly cheese for new customers / a good option for people who “don’t like goat cheese”</x:v>
      </x:c>
      <x:c r="M21" s="22" t="str">
        <x:v>orange blossom honey, medium-bodied Spanish reds, full bodied white wines, chorizo, gin based cocktails</x:v>
      </x:c>
      <x:c r="N21" s="22" t="str">
        <x:v>Tomme Style Spec Sheets.docx</x:v>
      </x:c>
      <x:c r="O21" s="22" t="str">
        <x:v>Tomme Style</x:v>
      </x:c>
      <x:c r="P21" s="22" t="str"/>
      <x:c r="Q21" s="21" t="str">
        <x:f>IF(P21="","Ready","Needs review")</x:f>
        <x:v>Ready</x:v>
      </x:c>
      <x:c r="R21" s="22" t="str">
        <x:v>Jumilla, Spain</x:v>
      </x:c>
      <x:c r="S21" s="21" t="str">
        <x:f>IF(COUNTIF($A$6:$A$120,A21)&gt;1,"Duplicate","Unique")</x:f>
        <x:v>Unique</x:v>
      </x:c>
    </x:row>
    <x:row r="22">
      <x:c r="A22" s="21" t="str">
        <x:v>goliath</x:v>
      </x:c>
      <x:c r="B22" s="21" t="str">
        <x:v>Goliath</x:v>
      </x:c>
      <x:c r="C22" s="21" t="str">
        <x:v>McGrath Cheese Company</x:v>
      </x:c>
      <x:c r="D22" s="21" t="str">
        <x:v>Hudson Valley</x:v>
      </x:c>
      <x:c r="E22" s="21" t="str">
        <x:v>NY</x:v>
      </x:c>
      <x:c r="F22" s="21" t="str">
        <x:v>USA</x:v>
      </x:c>
      <x:c r="G22" s="21" t="str">
        <x:v>Pasteurized cow</x:v>
      </x:c>
      <x:c r="H22" s="21" t="str">
        <x:v>animal</x:v>
      </x:c>
      <x:c r="I22" s="21" t="str">
        <x:v>farmhouse cheddar, washed rind</x:v>
      </x:c>
      <x:c r="J22" s="21" t="str">
        <x:v>3-5 months</x:v>
      </x:c>
      <x:c r="K22" s="22" t="str">
        <x:v>Sharp, grassy, savory, with a firm, slightly dry texture and a subtle nutty, lightly fruity finish</x:v>
      </x:c>
      <x:c r="L22" s="22" t="str">
        <x:v>Goliath comes from McGrath Cheese Company in New York’s Hudson Valley. It’s a cheddar-style cheese that’s been rind-washed as it ages, giving it a more savory, slightly “farmy” edge without going funky. It stays clean and approachable, just with a little more personality than your standard cheddar</x:v>
      </x:c>
      <x:c r="M22" s="22" t="str">
        <x:v>Apple, pears, mustard, mini toasts</x:v>
      </x:c>
      <x:c r="N22" s="22" t="str">
        <x:v>Tomme Style Spec Sheets.docx</x:v>
      </x:c>
      <x:c r="O22" s="22" t="str">
        <x:v>Tomme Style</x:v>
      </x:c>
      <x:c r="P22" s="22" t="str"/>
      <x:c r="Q22" s="21" t="str">
        <x:f>IF(P22="","Ready","Needs review")</x:f>
        <x:v>Ready</x:v>
      </x:c>
      <x:c r="R22" s="22" t="str">
        <x:v>Hudson Valley, NY</x:v>
      </x:c>
      <x:c r="S22" s="21" t="str">
        <x:f>IF(COUNTIF($A$6:$A$120,A22)&gt;1,"Duplicate","Unique")</x:f>
        <x:v>Unique</x:v>
      </x:c>
    </x:row>
    <x:row r="23">
      <x:c r="A23" s="21" t="str">
        <x:v>the-gray</x:v>
      </x:c>
      <x:c r="B23" s="21" t="str">
        <x:v>The Gray</x:v>
      </x:c>
      <x:c r="C23" s="21" t="str">
        <x:v>Mystic Cheese</x:v>
      </x:c>
      <x:c r="D23" s="21" t="str">
        <x:v>Groton</x:v>
      </x:c>
      <x:c r="E23" s="21" t="str">
        <x:v>CT</x:v>
      </x:c>
      <x:c r="F23" s="21" t="str">
        <x:v>USA</x:v>
      </x:c>
      <x:c r="G23" s="21" t="str">
        <x:v>Pasteurized Ayrshire cow</x:v>
      </x:c>
      <x:c r="H23" s="21" t="str">
        <x:v>animal rennet</x:v>
      </x:c>
      <x:c r="I23" s="21" t="str">
        <x:v>UK Red Cheshire, natural rind</x:v>
      </x:c>
      <x:c r="J23" s="21" t="str">
        <x:v>90 days</x:v>
      </x:c>
      <x:c r="K23" s="22" t="str">
        <x:v>Buttery and savory with a bright, mouthwatering acidity. Notes of warm butter, buttermilk, and light minerality, with a slightly salty edge and a lingering butterscotch-like finish.</x:v>
      </x:c>
      <x:c r="L23" s="22" t="str">
        <x:v>This is Mystic’s take on a traditional Cheshire, made with milk from Ayrshire cows. They follow the classic method, milling the curds, salting by hand, and pressing slowly to get that crumbly but still creamy texture. It’s made right near the Connecticut coast, which gives it a subtle mineral edge. The orange color comes from annatto, a natural plant-based dye traditionally used in Cheshire and other British-style cheeses.</x:v>
      </x:c>
      <x:c r="M23" s="22" t="str">
        <x:v>chutney, mustard, pickles, potato chips</x:v>
      </x:c>
      <x:c r="N23" s="22" t="str">
        <x:v>Tomme Style Spec Sheets.docx</x:v>
      </x:c>
      <x:c r="O23" s="22" t="str">
        <x:v>Tomme Style</x:v>
      </x:c>
      <x:c r="P23" s="22" t="str"/>
      <x:c r="Q23" s="21" t="str">
        <x:f>IF(P23="","Ready","Needs review")</x:f>
        <x:v>Ready</x:v>
      </x:c>
      <x:c r="R23" s="22" t="str">
        <x:v>Groton, CT</x:v>
      </x:c>
      <x:c r="S23" s="21" t="str">
        <x:f>IF(COUNTIF($A$6:$A$120,A23)&gt;1,"Duplicate","Unique")</x:f>
        <x:v>Unique</x:v>
      </x:c>
    </x:row>
    <x:row r="24">
      <x:c r="A24" s="21" t="str">
        <x:v>la-dama-sagrada</x:v>
      </x:c>
      <x:c r="B24" s="21" t="str">
        <x:v>La Dama Sagrada</x:v>
      </x:c>
      <x:c r="C24" s="21" t="str">
        <x:v>Mitica imported - Fatima is the name of the cheesemaker</x:v>
      </x:c>
      <x:c r="D24" s="21" t="str">
        <x:v>El Carpio de Tajo</x:v>
      </x:c>
      <x:c r="E24" s="21" t="str">
        <x:v>Toledo</x:v>
      </x:c>
      <x:c r="F24" s="21" t="str">
        <x:v>Spain</x:v>
      </x:c>
      <x:c r="G24" s="21" t="str">
        <x:v>raw, goat’s milk</x:v>
      </x:c>
      <x:c r="H24" s="21" t="str">
        <x:v>traditional</x:v>
      </x:c>
      <x:c r="I24" s="21" t="str">
        <x:v>tomme, manchego-style</x:v>
      </x:c>
      <x:c r="J24" s="21" t="str">
        <x:v>minimum 6 months</x:v>
      </x:c>
      <x:c r="K24" s="22" t="str">
        <x:v>Salty, Caramel, Grassy</x:v>
      </x:c>
      <x:c r="L24" s="22" t="str">
        <x:v>The “Sacred Lady” cheese! Women have been central to European cheesemaking for hundreds of years, but it is still rare to see a woman promoted to head cheesemaker in many European dairies. Fátima Navarro grew up in the cheese world and has over 24 years of experience in the industry. Her family helped found a dairy co-op in El Carpio de Tajo, which produces high quality Murcian goat’s milk. Fátima now serves as master cheesemaker of the co-op with Dama Sagrada as her piece de resistance. La Dama Sagrada is a manchego-style cheese, but made with goat’s milk</x:v>
      </x:c>
      <x:c r="M24" s="22" t="str">
        <x:v>Tempranillo, dry perry, sherry, olive oil</x:v>
      </x:c>
      <x:c r="N24" s="22" t="str">
        <x:v>Tomme Style Spec Sheets.docx</x:v>
      </x:c>
      <x:c r="O24" s="22" t="str">
        <x:v>Tomme Style</x:v>
      </x:c>
      <x:c r="P24" s="22" t="str"/>
      <x:c r="Q24" s="21" t="str">
        <x:f>IF(P24="","Ready","Needs review")</x:f>
        <x:v>Ready</x:v>
      </x:c>
      <x:c r="R24" s="22" t="str">
        <x:v>El Carpio de Tajo, Toledo, Spain</x:v>
      </x:c>
      <x:c r="S24" s="21" t="str">
        <x:f>IF(COUNTIF($A$6:$A$120,A24)&gt;1,"Duplicate","Unique")</x:f>
        <x:v>Unique</x:v>
      </x:c>
    </x:row>
    <x:row r="25">
      <x:c r="A25" s="21" t="str">
        <x:v>manchego-semi-curado</x:v>
      </x:c>
      <x:c r="B25" s="21" t="str">
        <x:v>Manchego Semi-Curado</x:v>
      </x:c>
      <x:c r="C25" s="21" t="str">
        <x:v>Dehesa de los Llanos</x:v>
      </x:c>
      <x:c r="D25" s="21" t="str">
        <x:v>Not provided by creamery</x:v>
      </x:c>
      <x:c r="E25" s="21" t="str">
        <x:v>Albacete</x:v>
      </x:c>
      <x:c r="F25" s="21" t="str">
        <x:v>Spain</x:v>
      </x:c>
      <x:c r="G25" s="21" t="str">
        <x:v>raw, sheep’s milk</x:v>
      </x:c>
      <x:c r="H25" s="21" t="str">
        <x:v>traditional</x:v>
      </x:c>
      <x:c r="I25" s="21" t="str">
        <x:v>tomme, PDO Manchego</x:v>
      </x:c>
      <x:c r="J25" s="21" t="str">
        <x:v>minimum 3 months</x:v>
      </x:c>
      <x:c r="K25" s="22" t="str">
        <x:v>Greek Yogurt, Cashews, Tangy</x:v>
      </x:c>
      <x:c r="L25" s="22" t="str">
        <x:v>a classic Manchego cheese. This is a farmstead manchego made on a 10,000 hectare farm property that also produces olive oil. They brush the rind in olive oil giving it a distinct natural-rind, but without too much natural flora.</x:v>
      </x:c>
      <x:c r="M25" s="22" t="str">
        <x:v>classic pairing is quince paste, or membrillo. Verdejo, Chardonnay, Riojas. Marcona almonds, jamon serrano</x:v>
      </x:c>
      <x:c r="N25" s="22" t="str">
        <x:v>Tomme Style Spec Sheets.docx</x:v>
      </x:c>
      <x:c r="O25" s="22" t="str">
        <x:v>Tomme Style</x:v>
      </x:c>
      <x:c r="P25" s="22" t="str"/>
      <x:c r="Q25" s="21" t="str">
        <x:f>IF(P25="","Ready","Needs review")</x:f>
        <x:v>Ready</x:v>
      </x:c>
      <x:c r="R25" s="22" t="str">
        <x:v>Albacete, Spain</x:v>
      </x:c>
      <x:c r="S25" s="21" t="str">
        <x:f>IF(COUNTIF($A$6:$A$120,A25)&gt;1,"Duplicate","Unique")</x:f>
        <x:v>Unique</x:v>
      </x:c>
    </x:row>
    <x:row r="26">
      <x:c r="A26" s="21" t="str">
        <x:v>riley-s-2x4</x:v>
      </x:c>
      <x:c r="B26" s="21" t="str">
        <x:v>Riley’s 2x4</x:v>
      </x:c>
      <x:c r="C26" s="21" t="str">
        <x:v>Blue Ledge Farm</x:v>
      </x:c>
      <x:c r="D26" s="21" t="str">
        <x:v>Salisbury</x:v>
      </x:c>
      <x:c r="E26" s="21" t="str">
        <x:v>VT</x:v>
      </x:c>
      <x:c r="F26" s="21" t="str">
        <x:v>USA</x:v>
      </x:c>
      <x:c r="G26" s="21" t="str">
        <x:v>Raw goat &amp; cow</x:v>
      </x:c>
      <x:c r="H26" s="21" t="str">
        <x:v>animal rennet</x:v>
      </x:c>
      <x:c r="I26" s="21" t="str">
        <x:v>mixed milk, natural rind, cave aged</x:v>
      </x:c>
      <x:c r="J26" s="21" t="str">
        <x:v>3 months</x:v>
      </x:c>
      <x:c r="K26" s="22" t="str">
        <x:v>Nutty and savory with a briny edge, balanced by a bright lactic tang. Notes of toasted bread and subtle grassiness, with a light, lingering sweetness on the finish.</x:v>
      </x:c>
      <x:c r="L26" s="22" t="str">
        <x:v>A true mixed milk cheese made from Blue Ledge Farm’s own goat’s milk and Ayrshire cow’s milk from nearby Mose Farm. Handcrafted and cave aged, allowing a natural rind to develop over time. The name “2x4” refers to the number of teats. Two from goats, four from cows. A staff favorite that balances brightness from the goat’s milk with the richness of cow’s milk.</x:v>
      </x:c>
      <x:c r="M26" s="22" t="str">
        <x:v>spicy salami, cherry, Riesling, olives</x:v>
      </x:c>
      <x:c r="N26" s="22" t="str">
        <x:v>Tomme Style Spec Sheets.docx</x:v>
      </x:c>
      <x:c r="O26" s="22" t="str">
        <x:v>Tomme Style</x:v>
      </x:c>
      <x:c r="P26" s="22" t="str"/>
      <x:c r="Q26" s="21" t="str">
        <x:f>IF(P26="","Ready","Needs review")</x:f>
        <x:v>Ready</x:v>
      </x:c>
      <x:c r="R26" s="22" t="str">
        <x:v>Salisbury, VT</x:v>
      </x:c>
      <x:c r="S26" s="21" t="str">
        <x:f>IF(COUNTIF($A$6:$A$120,A26)&gt;1,"Duplicate","Unique")</x:f>
        <x:v>Unique</x:v>
      </x:c>
    </x:row>
    <x:row r="27">
      <x:c r="A27" s="21" t="str">
        <x:v>tomarashi</x:v>
      </x:c>
      <x:c r="B27" s="21" t="str">
        <x:v>TomaRashi</x:v>
      </x:c>
      <x:c r="C27" s="21" t="str">
        <x:v>Point Reyes Farmstead Cheese Co</x:v>
      </x:c>
      <x:c r="D27" s="21" t="str">
        <x:v>Point Reyes</x:v>
      </x:c>
      <x:c r="E27" s="21" t="str">
        <x:v>CA</x:v>
      </x:c>
      <x:c r="F27" s="21" t="str">
        <x:v>USA</x:v>
      </x:c>
      <x:c r="G27" s="21" t="str">
        <x:v>Pasteurized cow</x:v>
      </x:c>
      <x:c r="H27" s="21" t="str">
        <x:v>Microbial / vegetarian</x:v>
      </x:c>
      <x:c r="I27" s="21" t="str">
        <x:v>tomme style / flavor added</x:v>
      </x:c>
      <x:c r="J27" s="21" t="str">
        <x:v>6–8 weeks</x:v>
      </x:c>
      <x:c r="K27" s="22" t="str">
        <x:v>damp cellar, mushrooms, gentle earth, citrus lift</x:v>
      </x:c>
      <x:c r="L27" s="22" t="str">
        <x:v>Tomme de Crayeuse is a relatively modern cheese, created in the 1990s by affineur Max Schmidhauser in the Savoie region of France. It was designed as a softer, more expressive alternative to traditional Tomme de Savoie. The name Crayeuse translates to chalky, referencing the distinctive texture at the center of the cheese when young. As it matures, the paste transitions from chalky to supple, while the natural rind develops a gray brown, suede like surface. The flavor profile remains gentle and earthy throughout aging, with notes of damp cellar and mushrooms lifted by a subtle lemony brightness that keeps the cheese fresh and approachable. Customer Type: Tomme lovers, mushroom forward palates, fans of rustic French cheeses. How to sell it in one sentence: “A gentle, earthy tomme with a chalky center, mushroom notes, and a clean lemony finish.”</x:v>
      </x:c>
      <x:c r="M27" s="22" t="str">
        <x:v>Pinot Noir, light Rhône reds, crusty bread, cornichons</x:v>
      </x:c>
      <x:c r="N27" s="22" t="str">
        <x:v>Tomme Style Spec Sheets.docx</x:v>
      </x:c>
      <x:c r="O27" s="22" t="str">
        <x:v>Tomme Style</x:v>
      </x:c>
      <x:c r="P27" s="22" t="str"/>
      <x:c r="Q27" s="21" t="str">
        <x:f>IF(P27="","Ready","Needs review")</x:f>
        <x:v>Ready</x:v>
      </x:c>
      <x:c r="R27" s="22" t="str">
        <x:v>Point Reyes, CA</x:v>
      </x:c>
      <x:c r="S27" s="21" t="str">
        <x:f>IF(COUNTIF($A$6:$A$120,A27)&gt;1,"Duplicate","Unique")</x:f>
        <x:v>Unique</x:v>
      </x:c>
    </x:row>
    <x:row r="28">
      <x:c r="A28" s="21" t="str">
        <x:v>wilde-goat</x:v>
      </x:c>
      <x:c r="B28" s="21" t="str">
        <x:v>Wilde Goat</x:v>
      </x:c>
      <x:c r="C28" s="21" t="str">
        <x:v>High Lawn Farm</x:v>
      </x:c>
      <x:c r="D28" s="21" t="str">
        <x:v>Lee</x:v>
      </x:c>
      <x:c r="E28" s="21" t="str">
        <x:v>MA</x:v>
      </x:c>
      <x:c r="F28" s="21" t="str">
        <x:v>USA</x:v>
      </x:c>
      <x:c r="G28" s="21" t="str">
        <x:v>Pasteurized Jersey cow &amp; Nubian goat</x:v>
      </x:c>
      <x:c r="H28" s="21" t="str">
        <x:v>animal rennet</x:v>
      </x:c>
      <x:c r="I28" s="21" t="str">
        <x:v>Alpine, washed rind</x:v>
      </x:c>
      <x:c r="J28" s="21" t="str">
        <x:v>4-10 months</x:v>
      </x:c>
      <x:c r="K28" s="22" t="str">
        <x:v>Nutty and pleasantly sharp with a rich, buttery base. Notes of toasted coffee, hay, and hops with a subtle earthy sweetness from the goat’s milk. Bright upfront with a long, slightly fudgy finish.</x:v>
      </x:c>
      <x:c r="L28" s="22" t="str">
        <x:v>A blend of High Lawn’s Jersey cow’s milk and Nubian goat’s milk, Wilde Goat brings together richness and brightness in one wheel. Washed in hazy IPA from a nearby brewery, it picks up subtle hoppy and toasty notes while aging. The texture lands somewhere between alpine and aged cheddar, with a dense, slightly sticky feel that makes it hard to stop at one bite. Seasonal release, so it doesn’t stick around long.</x:v>
      </x:c>
      <x:c r="M28" s="22" t="str">
        <x:v>roasted potatoes, hazy IPA, rosemary pesto, caramel</x:v>
      </x:c>
      <x:c r="N28" s="22" t="str">
        <x:v>Tomme Style Spec Sheets.docx</x:v>
      </x:c>
      <x:c r="O28" s="22" t="str">
        <x:v>Tomme Style</x:v>
      </x:c>
      <x:c r="P28" s="22" t="str"/>
      <x:c r="Q28" s="21" t="str">
        <x:f>IF(P28="","Ready","Needs review")</x:f>
        <x:v>Ready</x:v>
      </x:c>
      <x:c r="R28" s="22" t="str">
        <x:v>Lee, MA</x:v>
      </x:c>
      <x:c r="S28" s="21" t="str">
        <x:f>IF(COUNTIF($A$6:$A$120,A28)&gt;1,"Duplicate","Unique")</x:f>
        <x:v>Unique</x:v>
      </x:c>
    </x:row>
    <x:row r="29">
      <x:c r="A29" s="21" t="str">
        <x:v>adiron-jack</x:v>
      </x:c>
      <x:c r="B29" s="21" t="str">
        <x:v>Adiron-Jack</x:v>
      </x:c>
      <x:c r="C29" s="21" t="str">
        <x:v>Nettle Meadow</x:v>
      </x:c>
      <x:c r="D29" s="21" t="str">
        <x:v>Warrensburg</x:v>
      </x:c>
      <x:c r="E29" s="21" t="str">
        <x:v>NY</x:v>
      </x:c>
      <x:c r="F29" s="21" t="str">
        <x:v>USA</x:v>
      </x:c>
      <x:c r="G29" s="21" t="str">
        <x:v>pasteurized cow’s milk</x:v>
      </x:c>
      <x:c r="H29" s="21" t="str">
        <x:v>vegetarian, microbial</x:v>
      </x:c>
      <x:c r="I29" s="21" t="str">
        <x:v>infused soft ripened</x:v>
      </x:c>
      <x:c r="J29" s="21" t="str">
        <x:v>about a month</x:v>
      </x:c>
      <x:c r="K29" s="22" t="str">
        <x:v>Sour Cream, White Mushrooms, McIntosh Apples</x:v>
      </x:c>
      <x:c r="L29" s="22" t="str">
        <x:v>Nettle Meadow infuses Adiron-jack with a hint of New York State applejack brandy. Adiron-Jack is a triple-cream made with Jersey cow’s milk. It is not particularly boozy. Nettle Meadow is a sanctuary farm that rehomes retired farm animals in Upstate NY. It is also women owned</x:v>
      </x:c>
      <x:c r="M29" s="22" t="str">
        <x:v>A brut champagne, light riesling, farmhouse ale or a hard apple cider accompanied by a lightly salted cracker, apple butter, prosciutto or thinly-sliced fennel.</x:v>
      </x:c>
      <x:c r="N29" s="22" t="str">
        <x:v>Soft Cheese Spec Sheets .docx</x:v>
      </x:c>
      <x:c r="O29" s="22" t="str">
        <x:v>Soft Cheese</x:v>
      </x:c>
      <x:c r="P29" s="22" t="str"/>
      <x:c r="Q29" s="21" t="str">
        <x:f>IF(P29="","Ready","Needs review")</x:f>
        <x:v>Ready</x:v>
      </x:c>
      <x:c r="R29" s="22" t="str">
        <x:v>Warrensburg, NY</x:v>
      </x:c>
      <x:c r="S29" s="21" t="str">
        <x:f>IF(COUNTIF($A$6:$A$120,A29)&gt;1,"Duplicate","Unique")</x:f>
        <x:v>Unique</x:v>
      </x:c>
    </x:row>
    <x:row r="30">
      <x:c r="A30" s="21" t="str">
        <x:v>bonde-d-antan</x:v>
      </x:c>
      <x:c r="B30" s="21" t="str">
        <x:v>Bonde d’Antan</x:v>
      </x:c>
      <x:c r="C30" s="21" t="str">
        <x:v>Poitou Chevre</x:v>
      </x:c>
      <x:c r="D30" s="21" t="str">
        <x:v>Not provided by creamery</x:v>
      </x:c>
      <x:c r="E30" s="21" t="str">
        <x:v>Poitou-Charentes region of</x:v>
      </x:c>
      <x:c r="F30" s="21" t="str">
        <x:v>France</x:v>
      </x:c>
      <x:c r="G30" s="21" t="str">
        <x:v>pasteurized goat's milk</x:v>
      </x:c>
      <x:c r="H30" s="21" t="str">
        <x:v>animal</x:v>
      </x:c>
      <x:c r="I30" s="21" t="str">
        <x:v>soft</x:v>
      </x:c>
      <x:c r="J30" s="21" t="str">
        <x:v>2-6 weeks</x:v>
      </x:c>
      <x:c r="K30" s="22" t="str">
        <x:v>bright, nutty, sweet with a tangy lemon finish</x:v>
      </x:c>
      <x:c r="L30" s="22" t="str">
        <x:v>A crottin-style goat cheese from the the Poitou-Charentes/Loire Valley. It has earned silver and bronze awards at the prestigious Concours General Agricole in Paris</x:v>
      </x:c>
      <x:c r="M30" s="22" t="str">
        <x:v>light honey, fig jam, baked over a baguette, fruity rose wine</x:v>
      </x:c>
      <x:c r="N30" s="22" t="str">
        <x:v>Soft Cheese Spec Sheets .docx</x:v>
      </x:c>
      <x:c r="O30" s="22" t="str">
        <x:v>Soft Cheese</x:v>
      </x:c>
      <x:c r="P30" s="22" t="str"/>
      <x:c r="Q30" s="21" t="str">
        <x:f>IF(P30="","Ready","Needs review")</x:f>
        <x:v>Ready</x:v>
      </x:c>
      <x:c r="R30" s="22" t="str">
        <x:v>Poitou-Charentes region of France</x:v>
      </x:c>
      <x:c r="S30" s="21" t="str">
        <x:f>IF(COUNTIF($A$6:$A$120,A30)&gt;1,"Duplicate","Unique")</x:f>
        <x:v>Unique</x:v>
      </x:c>
    </x:row>
    <x:row r="31">
      <x:c r="A31" s="21" t="str">
        <x:v>brebirousse-d-argental</x:v>
      </x:c>
      <x:c r="B31" s="21" t="str">
        <x:v>Brebirousse d’Argental</x:v>
      </x:c>
      <x:c r="C31" s="21" t="str">
        <x:v>Not provided in source</x:v>
      </x:c>
      <x:c r="D31" s="21" t="str">
        <x:v>Lyon</x:v>
      </x:c>
      <x:c r="E31" s="21" t="str">
        <x:v>(Rhone-Alps Region</x:v>
      </x:c>
      <x:c r="F31" s="21" t="str">
        <x:v>France</x:v>
      </x:c>
      <x:c r="G31" s="21" t="str">
        <x:v>pasteurized sheep’s milk</x:v>
      </x:c>
      <x:c r="H31" s="21" t="str">
        <x:v>vegetarian rennet</x:v>
      </x:c>
      <x:c r="I31" s="21" t="str">
        <x:v>soft ripened</x:v>
      </x:c>
      <x:c r="J31" s="21" t="str">
        <x:v>12 days</x:v>
      </x:c>
      <x:c r="K31" s="22" t="str">
        <x:v>grassy aroma savory, creamy, nutty buttery flavor</x:v>
      </x:c>
      <x:c r="L31" s="22" t="str">
        <x:v>Brebirousse translates to “red sheep”</x:v>
      </x:c>
      <x:c r="M31" s="22" t="str">
        <x:v>fresh baguette with dried apricots and salami, sparking or light white wine</x:v>
      </x:c>
      <x:c r="N31" s="22" t="str">
        <x:v>Soft Cheese Spec Sheets .docx</x:v>
      </x:c>
      <x:c r="O31" s="22" t="str">
        <x:v>Soft Cheese</x:v>
      </x:c>
      <x:c r="P31" s="22" t="str">
        <x:v>Missing in source: creamery</x:v>
      </x:c>
      <x:c r="Q31" s="21" t="str">
        <x:f>IF(P31="","Ready","Needs review")</x:f>
        <x:v>Needs review</x:v>
      </x:c>
      <x:c r="R31" s="22" t="str">
        <x:v>Lyon, France (Rhone-Alps Region)</x:v>
      </x:c>
      <x:c r="S31" s="21" t="str">
        <x:f>IF(COUNTIF($A$6:$A$120,A31)&gt;1,"Duplicate","Unique")</x:f>
        <x:v>Unique</x:v>
      </x:c>
    </x:row>
    <x:row r="32">
      <x:c r="A32" s="21" t="str">
        <x:v>brie-fermier</x:v>
      </x:c>
      <x:c r="B32" s="21" t="str">
        <x:v>Brie Fermier</x:v>
      </x:c>
      <x:c r="C32" s="21" t="str">
        <x:v>Tremblaye</x:v>
      </x:c>
      <x:c r="D32" s="21" t="str">
        <x:v>Not provided by creamery</x:v>
      </x:c>
      <x:c r="E32" s="21" t="str">
        <x:v>Seine-et-Marne in Ile-de</x:v>
      </x:c>
      <x:c r="F32" s="21" t="str">
        <x:v>France</x:v>
      </x:c>
      <x:c r="G32" s="21" t="str">
        <x:v>Pasteurized, organic cow’s milk</x:v>
      </x:c>
      <x:c r="H32" s="21" t="str">
        <x:v>Animal</x:v>
      </x:c>
      <x:c r="I32" s="21" t="str">
        <x:v>Soft-ripened/Bloomy rind</x:v>
      </x:c>
      <x:c r="J32" s="21" t="str">
        <x:v>4-5 weeks</x:v>
      </x:c>
      <x:c r="K32" s="22" t="str">
        <x:v>Buttery, creamy, mild mushroom, fresh and milky</x:v>
      </x:c>
      <x:c r="L32" s="22" t="str">
        <x:v>A traditional farmstead brie made with organic cow’s milk, Tremblaye Organic Brie Fermier is soft-ripened and delicately earthy. Crafted in Île-de-France, it offers a creamy, buttery paste beneath a bloomy white rind, with subtle mushroom notes and a clean, milky finish that reflects its high-quality, organic origins.</x:v>
      </x:c>
      <x:c r="M32" s="22" t="str">
        <x:v>Fresh fruit, champagne, hazelnuts, crusty bread</x:v>
      </x:c>
      <x:c r="N32" s="22" t="str">
        <x:v>Soft Cheese Spec Sheets .docx</x:v>
      </x:c>
      <x:c r="O32" s="22" t="str">
        <x:v>Soft Cheese</x:v>
      </x:c>
      <x:c r="P32" s="22" t="str"/>
      <x:c r="Q32" s="21" t="str">
        <x:f>IF(P32="","Ready","Needs review")</x:f>
        <x:v>Ready</x:v>
      </x:c>
      <x:c r="R32" s="22" t="str">
        <x:v>Seine-et-Marne in Ile-de-France</x:v>
      </x:c>
      <x:c r="S32" s="21" t="str">
        <x:f>IF(COUNTIF($A$6:$A$120,A32)&gt;1,"Duplicate","Unique")</x:f>
        <x:v>Unique</x:v>
      </x:c>
    </x:row>
    <x:row r="33">
      <x:c r="A33" s="21" t="str">
        <x:v>brie-paysan</x:v>
      </x:c>
      <x:c r="B33" s="21" t="str">
        <x:v>Brie Paysan</x:v>
      </x:c>
      <x:c r="C33" s="21" t="str">
        <x:v>Fromagerie du Presbytère</x:v>
      </x:c>
      <x:c r="D33" s="21" t="str">
        <x:v>Sainte-Élizabeth-de-Warwick</x:v>
      </x:c>
      <x:c r="E33" s="21" t="str">
        <x:v>Quebec</x:v>
      </x:c>
      <x:c r="F33" s="21" t="str">
        <x:v>Canada</x:v>
      </x:c>
      <x:c r="G33" s="21" t="str">
        <x:v>Pasteurized Cow</x:v>
      </x:c>
      <x:c r="H33" s="21" t="str">
        <x:v>microbial</x:v>
      </x:c>
      <x:c r="I33" s="21" t="str">
        <x:v>bloomy rind/brie</x:v>
      </x:c>
      <x:c r="J33" s="21" t="str">
        <x:v>~30 days</x:v>
      </x:c>
      <x:c r="K33" s="22" t="str">
        <x:v>Rich and creamy with warm milk, cultured butter, cooked mushrooms, and soft vegetal notes. The texture is plush and melting, with a velvety paste that becomes more luscious as it warms.</x:v>
      </x:c>
      <x:c r="L33" s="22" t="str">
        <x:v>Made by Fromagerie du Presbytère in Quebec, Brie Paysan is a farmstead bloomy rind cheese crafted from the creamery’s own Holstein and Jersey herd. Aged around 30 days, it develops a fluffy white rind and an ultra-creamy interior with deep dairy richness and earthy mushroom character. The name “Paysan,” meaning “farmer” or “country-style,” is a nod to the people who work the land and care for the herd behind the cheese.</x:v>
      </x:c>
      <x:c r="M33" s="22" t="str">
        <x:v>apricot, honey, paler chardonnay, champagne</x:v>
      </x:c>
      <x:c r="N33" s="22" t="str">
        <x:v>Soft Cheese Spec Sheets .docx</x:v>
      </x:c>
      <x:c r="O33" s="22" t="str">
        <x:v>Soft Cheese</x:v>
      </x:c>
      <x:c r="P33" s="22" t="str"/>
      <x:c r="Q33" s="21" t="str">
        <x:f>IF(P33="","Ready","Needs review")</x:f>
        <x:v>Ready</x:v>
      </x:c>
      <x:c r="R33" s="22" t="str">
        <x:v>Sainte-Élizabeth-de-Warwick, Quebec, Canada</x:v>
      </x:c>
      <x:c r="S33" s="21" t="str">
        <x:f>IF(COUNTIF($A$6:$A$120,A33)&gt;1,"Duplicate","Unique")</x:f>
        <x:v>Unique</x:v>
      </x:c>
    </x:row>
    <x:row r="34">
      <x:c r="A34" s="21" t="str">
        <x:v>camembert-reo</x:v>
      </x:c>
      <x:c r="B34" s="21" t="str">
        <x:v>Camembert Reo</x:v>
      </x:c>
      <x:c r="C34" s="21" t="str">
        <x:v>Fromagerie Réo</x:v>
      </x:c>
      <x:c r="D34" s="21" t="str">
        <x:v>Lessay</x:v>
      </x:c>
      <x:c r="E34" s="21" t="str">
        <x:v>Normandy</x:v>
      </x:c>
      <x:c r="F34" s="21" t="str">
        <x:v>France</x:v>
      </x:c>
      <x:c r="G34" s="21" t="str">
        <x:v>Pasteurized Cow</x:v>
      </x:c>
      <x:c r="H34" s="21" t="str">
        <x:v>Animal</x:v>
      </x:c>
      <x:c r="I34" s="21" t="str">
        <x:v>soft ripened/Bloomy rind</x:v>
      </x:c>
      <x:c r="J34" s="21" t="str">
        <x:v>min. 21 days</x:v>
      </x:c>
      <x:c r="K34" s="22" t="str">
        <x:v>Rich and velvety with notes of cultured butter, cooked mushrooms, garlic, hay, and warm cream. The paste becomes soft and marshmallowy as it ripens, developing a savory, brothy depth with a clean earthy finish.</x:v>
      </x:c>
      <x:c r="L34" s="22" t="str">
        <x:v>Made in Lessay, Normandy by Fromagerie Réo, this traditional Camembert has been hand-ladled since 1931 using milk sourced from nearby farms within a 30 km radius of the dairy. The authentic French version carries AOP/PDO protection and is made from raw milk, while the US-imported version is gently pasteurized to meet regulations without losing its traditional character. Réo remains one of the few larger producers still committed to careful hand-ladling and classic Normandy cheesemaking methods.</x:v>
      </x:c>
      <x:c r="M34" s="22" t="str">
        <x:v>chocolate, apple, mushroom pate, bake it!</x:v>
      </x:c>
      <x:c r="N34" s="22" t="str">
        <x:v>Soft Cheese Spec Sheets .docx</x:v>
      </x:c>
      <x:c r="O34" s="22" t="str">
        <x:v>Soft Cheese</x:v>
      </x:c>
      <x:c r="P34" s="22" t="str"/>
      <x:c r="Q34" s="21" t="str">
        <x:f>IF(P34="","Ready","Needs review")</x:f>
        <x:v>Ready</x:v>
      </x:c>
      <x:c r="R34" s="22" t="str">
        <x:v>Lessay, Normandy, France</x:v>
      </x:c>
      <x:c r="S34" s="21" t="str">
        <x:f>IF(COUNTIF($A$6:$A$120,A34)&gt;1,"Duplicate","Unique")</x:f>
        <x:v>Unique</x:v>
      </x:c>
    </x:row>
    <x:row r="35">
      <x:c r="A35" s="21" t="str">
        <x:v>camembertha</x:v>
      </x:c>
      <x:c r="B35" s="21" t="str">
        <x:v>CamemBertha</x:v>
      </x:c>
      <x:c r="C35" s="21" t="str">
        <x:v>Four Fat Fowl</x:v>
      </x:c>
      <x:c r="D35" s="21" t="str">
        <x:v>Hudson Valley</x:v>
      </x:c>
      <x:c r="E35" s="21" t="str">
        <x:v>NY</x:v>
      </x:c>
      <x:c r="F35" s="21" t="str">
        <x:v>USA</x:v>
      </x:c>
      <x:c r="G35" s="21" t="str">
        <x:v>pasteurized cow’s milk</x:v>
      </x:c>
      <x:c r="H35" s="21" t="str">
        <x:v>Not provided in source</x:v>
      </x:c>
      <x:c r="I35" s="21" t="str">
        <x:v>soft</x:v>
      </x:c>
      <x:c r="J35" s="21" t="str">
        <x:v>2 weeks</x:v>
      </x:c>
      <x:c r="K35" s="22" t="str">
        <x:v>Not provided in source</x:v>
      </x:c>
      <x:c r="L35" s="22" t="str">
        <x:v>Camembert dates back to 1791, where it was first produced in Normandy, France. CamemBertha is a bloomy rind cheese, named for the white mold that “blooms” on the rind, breaking down the interior of the cheese and creating its silky texture</x:v>
      </x:c>
      <x:c r="M35" s="22" t="str">
        <x:v>candied nuts, apples and pears with honey; sparking cider</x:v>
      </x:c>
      <x:c r="N35" s="22" t="str">
        <x:v>Soft Cheese Spec Sheets .docx</x:v>
      </x:c>
      <x:c r="O35" s="22" t="str">
        <x:v>Soft Cheese</x:v>
      </x:c>
      <x:c r="P35" s="22" t="str">
        <x:v>Missing in source: rennet, flavor_profile</x:v>
      </x:c>
      <x:c r="Q35" s="21" t="str">
        <x:f>IF(P35="","Ready","Needs review")</x:f>
        <x:v>Needs review</x:v>
      </x:c>
      <x:c r="R35" s="22" t="str">
        <x:v>Hudson Valley, NY</x:v>
      </x:c>
      <x:c r="S35" s="21" t="str">
        <x:f>IF(COUNTIF($A$6:$A$120,A35)&gt;1,"Duplicate","Unique")</x:f>
        <x:v>Unique</x:v>
      </x:c>
    </x:row>
    <x:row r="36">
      <x:c r="A36" s="21" t="str">
        <x:v>ca-a-de-cabra</x:v>
      </x:c>
      <x:c r="B36" s="21" t="str">
        <x:v>Caña de Cabra</x:v>
      </x:c>
      <x:c r="C36" s="21" t="str">
        <x:v>Central Quesera Montesinos</x:v>
      </x:c>
      <x:c r="D36" s="21" t="str">
        <x:v>Not provided by creamery</x:v>
      </x:c>
      <x:c r="E36" s="21" t="str">
        <x:v>Murcia</x:v>
      </x:c>
      <x:c r="F36" s="21" t="str">
        <x:v>Spain</x:v>
      </x:c>
      <x:c r="G36" s="21" t="str">
        <x:v>Pasteurized Goat</x:v>
      </x:c>
      <x:c r="H36" s="21" t="str">
        <x:v>Animal</x:v>
      </x:c>
      <x:c r="I36" s="21" t="str">
        <x:v>Soft-ripened/Bloomy Rind</x:v>
      </x:c>
      <x:c r="J36" s="21" t="str">
        <x:v>21 days</x:v>
      </x:c>
      <x:c r="K36" s="22" t="str">
        <x:v>Clean, bright, lemony, peppery rind</x:v>
      </x:c>
      <x:c r="L36" s="22" t="str">
        <x:v>Murcia is famous for its quality goat’s milk, and Caña de Cabra, a soft-ripened goat log, showcases this milk. The cheese is made by Central Quesera Montesinos, an expert in goat's milk cheeses with whom Mitica has partnered for many years. Caña de Cabra has a white mold rind and a fudgy interior. Aged 21 days, it becomes firmer as it ages further, with the cream line along the rind becoming more pronounced. As with most Murciana goat's milk cheeses, the flavor is mild, never goaty. When young, the cheese is mild with a slight tang, gaining intensity and a mushroomy flavor with age.</x:v>
      </x:c>
      <x:c r="M36" s="22" t="str">
        <x:v>Bubbles, acidic whites, sparkling water, lemonade</x:v>
      </x:c>
      <x:c r="N36" s="22" t="str">
        <x:v>Soft Cheese Spec Sheets .docx</x:v>
      </x:c>
      <x:c r="O36" s="22" t="str">
        <x:v>Soft Cheese</x:v>
      </x:c>
      <x:c r="P36" s="22" t="str"/>
      <x:c r="Q36" s="21" t="str">
        <x:f>IF(P36="","Ready","Needs review")</x:f>
        <x:v>Ready</x:v>
      </x:c>
      <x:c r="R36" s="22" t="str">
        <x:v>Murcia, Spain</x:v>
      </x:c>
      <x:c r="S36" s="21" t="str">
        <x:f>IF(COUNTIF($A$6:$A$120,A36)&gt;1,"Duplicate","Unique")</x:f>
        <x:v>Unique</x:v>
      </x:c>
    </x:row>
    <x:row r="37">
      <x:c r="A37" s="21" t="str">
        <x:v>cremeux-de-bourgogne</x:v>
      </x:c>
      <x:c r="B37" s="21" t="str">
        <x:v>Cremeux de Bourgogne</x:v>
      </x:c>
      <x:c r="C37" s="21" t="str">
        <x:v>Delin</x:v>
      </x:c>
      <x:c r="D37" s="21" t="str">
        <x:v>Not provided by creamery</x:v>
      </x:c>
      <x:c r="E37" s="21" t="str">
        <x:v>Burgundy</x:v>
      </x:c>
      <x:c r="F37" s="21" t="str">
        <x:v>France</x:v>
      </x:c>
      <x:c r="G37" s="21" t="str">
        <x:v>pasteurized cow</x:v>
      </x:c>
      <x:c r="H37" s="21" t="str">
        <x:v>traditional</x:v>
      </x:c>
      <x:c r="I37" s="21" t="str">
        <x:v>triple cream</x:v>
      </x:c>
      <x:c r="J37" s="21" t="str">
        <x:v>barely aged, less than 2 months</x:v>
      </x:c>
      <x:c r="K37" s="22" t="str">
        <x:v>Cultured Butter, Sour Cream, Button Mushrooms</x:v>
      </x:c>
      <x:c r="L37" s="22" t="str">
        <x:v>A super luscious, traditional French triple cream, so it has at least 75% butterfat by dry volume. Overall, just a classic triple cream</x:v>
      </x:c>
      <x:c r="M37" s="22" t="str">
        <x:v>champagne, prosecco</x:v>
      </x:c>
      <x:c r="N37" s="22" t="str">
        <x:v>Soft Cheese Spec Sheets .docx</x:v>
      </x:c>
      <x:c r="O37" s="22" t="str">
        <x:v>Soft Cheese</x:v>
      </x:c>
      <x:c r="P37" s="22" t="str"/>
      <x:c r="Q37" s="21" t="str">
        <x:f>IF(P37="","Ready","Needs review")</x:f>
        <x:v>Ready</x:v>
      </x:c>
      <x:c r="R37" s="22" t="str">
        <x:v>Burgundy, France</x:v>
      </x:c>
      <x:c r="S37" s="21" t="str">
        <x:f>IF(COUNTIF($A$6:$A$120,A37)&gt;1,"Duplicate","Unique")</x:f>
        <x:v>Unique</x:v>
      </x:c>
    </x:row>
    <x:row r="38">
      <x:c r="A38" s="21" t="str">
        <x:v>delice-de-bourgogne</x:v>
      </x:c>
      <x:c r="B38" s="21" t="str">
        <x:v>Delice de Bourgogne</x:v>
      </x:c>
      <x:c r="C38" s="21" t="str">
        <x:v>Lincet</x:v>
      </x:c>
      <x:c r="D38" s="21" t="str">
        <x:v>Not provided by creamery</x:v>
      </x:c>
      <x:c r="E38" s="21" t="str">
        <x:v>Burgundy</x:v>
      </x:c>
      <x:c r="F38" s="21" t="str">
        <x:v>France</x:v>
      </x:c>
      <x:c r="G38" s="21" t="str">
        <x:v>pasteurized cow</x:v>
      </x:c>
      <x:c r="H38" s="21" t="str">
        <x:v>traditional</x:v>
      </x:c>
      <x:c r="I38" s="21" t="str">
        <x:v>triple cream</x:v>
      </x:c>
      <x:c r="J38" s="21" t="str">
        <x:v>barely aged, less than 2 months</x:v>
      </x:c>
      <x:c r="K38" s="22" t="str">
        <x:v>Heavy Cream, Sour Cream, Peanuts</x:v>
      </x:c>
      <x:c r="L38" s="22" t="str">
        <x:v>A super luscious, traditional French triple cream, so it has at least 75% butterfat by dry volume. Overall, just a classic triple cream. Sometimes the rind separates from the paste, this is usual.</x:v>
      </x:c>
      <x:c r="M38" s="22" t="str">
        <x:v>champagne, prosecco, lemon curd</x:v>
      </x:c>
      <x:c r="N38" s="22" t="str">
        <x:v>Soft Cheese Spec Sheets .docx</x:v>
      </x:c>
      <x:c r="O38" s="22" t="str">
        <x:v>Soft Cheese</x:v>
      </x:c>
      <x:c r="P38" s="22" t="str"/>
      <x:c r="Q38" s="21" t="str">
        <x:f>IF(P38="","Ready","Needs review")</x:f>
        <x:v>Ready</x:v>
      </x:c>
      <x:c r="R38" s="22" t="str">
        <x:v>Burgundy, France</x:v>
      </x:c>
      <x:c r="S38" s="21" t="str">
        <x:f>IF(COUNTIF($A$6:$A$120,A38)&gt;1,"Duplicate","Unique")</x:f>
        <x:v>Unique</x:v>
      </x:c>
    </x:row>
    <x:row r="39">
      <x:c r="A39" s="21" t="str">
        <x:v>harbison</x:v>
      </x:c>
      <x:c r="B39" s="21" t="str">
        <x:v>Harbison</x:v>
      </x:c>
      <x:c r="C39" s="21" t="str">
        <x:v>Jasper Hill Farm</x:v>
      </x:c>
      <x:c r="D39" s="21" t="str">
        <x:v>Greensboro</x:v>
      </x:c>
      <x:c r="E39" s="21" t="str">
        <x:v>Vermont</x:v>
      </x:c>
      <x:c r="F39" s="21" t="str">
        <x:v>USA</x:v>
      </x:c>
      <x:c r="G39" s="21" t="str">
        <x:v>Pasteurized cow</x:v>
      </x:c>
      <x:c r="H39" s="21" t="str">
        <x:v>Animal</x:v>
      </x:c>
      <x:c r="I39" s="21" t="str">
        <x:v>Bloomy-rind, soft-ripened, spruce-wrapped, uncooked/unpressed, surface-ripend</x:v>
      </x:c>
      <x:c r="J39" s="21" t="str">
        <x:v>6-13 weeks</x:v>
      </x:c>
      <x:c r="K39" s="22" t="str">
        <x:v>sweet cream, button mushrooms, mustard, vegetal, broth, approachable, woodsy</x:v>
      </x:c>
      <x:c r="L39" s="22" t="str">
        <x:v>HARBISON is named for Anne Harbison, affectionately known as the grandmother of Greensboro. Along with breathtaking views, traditions and people are part of what makes Vermont's working landscape special; we're proud to honor Ms. Harbison's contribution with this cheese. Harbison is a soft-ripened cheese with a rustic, bloomy rind. Young cheeses are wrapped in strips of spruce cambium, the tree's inner bark layer, harvested from the woodlands of Jasper Hill. The spoonable texture begins to develop in our vaults, though the paste continues to soften on the way to market. Harbison is woodsy and sweet, balanced with lemon, mustard, and vegetal flavors.</x:v>
      </x:c>
      <x:c r="M39" s="22" t="str">
        <x:v>french fries, potato chips, crudite, crusty bread, roasted cruciferous veggies, plush merlot, ginger ale, suds, bubbles</x:v>
      </x:c>
      <x:c r="N39" s="22" t="str">
        <x:v>Soft Cheese Spec Sheets .docx</x:v>
      </x:c>
      <x:c r="O39" s="22" t="str">
        <x:v>Soft Cheese</x:v>
      </x:c>
      <x:c r="P39" s="22" t="str"/>
      <x:c r="Q39" s="21" t="str">
        <x:f>IF(P39="","Ready","Needs review")</x:f>
        <x:v>Ready</x:v>
      </x:c>
      <x:c r="R39" s="22" t="str">
        <x:v>Greensboro, Vermont</x:v>
      </x:c>
      <x:c r="S39" s="21" t="str">
        <x:f>IF(COUNTIF($A$6:$A$120,A39)&gt;1,"Duplicate","Unique")</x:f>
        <x:v>Unique</x:v>
      </x:c>
    </x:row>
    <x:row r="40">
      <x:c r="A40" s="21" t="str">
        <x:v>kunik</x:v>
      </x:c>
      <x:c r="B40" s="21" t="str">
        <x:v>Kunik</x:v>
      </x:c>
      <x:c r="C40" s="21" t="str">
        <x:v>Nettle Meadow Farm</x:v>
      </x:c>
      <x:c r="D40" s="21" t="str">
        <x:v>Thurman</x:v>
      </x:c>
      <x:c r="E40" s="21" t="str">
        <x:v>NY</x:v>
      </x:c>
      <x:c r="F40" s="21" t="str">
        <x:v>USA</x:v>
      </x:c>
      <x:c r="G40" s="21" t="str">
        <x:v>Pasteurized</x:v>
      </x:c>
      <x:c r="H40" s="21" t="str">
        <x:v>Animal</x:v>
      </x:c>
      <x:c r="I40" s="21" t="str">
        <x:v>Triple crème/bloody rind</x:v>
      </x:c>
      <x:c r="J40" s="21" t="str">
        <x:v>3-6 weeks</x:v>
      </x:c>
      <x:c r="K40" s="22" t="str">
        <x:v>Rich and decadent with notes of cultured butter, button mushrooms, tangy cream, and a little lemon zest. Dense at first, then melts luxuriously across the palate like savory cheesecake.</x:v>
      </x:c>
      <x:c r="L40" s="22" t="str">
        <x:v>Made by Nettle Meadow Farm in the Adirondacks of New York, Kunik blends fresh goat’s milk with rich Jersey cow cream to create one of America’s most beloved triple-crèmes. The farm, founded by Lorraine Lambiase and Sheila Flanagan, is also an animal sanctuary home to goats, llamas, donkeys, pigs, ducks, rabbits, and more. The goats roam pastures full of grasses and wild herbs, contributing complexity and depth to the milk used in the cheese.</x:v>
      </x:c>
      <x:c r="M40" s="22" t="str">
        <x:v>garlic dill pickles, sparkling rose, dry cider, almonds, honey, bake it!</x:v>
      </x:c>
      <x:c r="N40" s="22" t="str">
        <x:v>Soft Cheese Spec Sheets .docx</x:v>
      </x:c>
      <x:c r="O40" s="22" t="str">
        <x:v>Soft Cheese</x:v>
      </x:c>
      <x:c r="P40" s="22" t="str">
        <x:v>Milk type should be verified</x:v>
      </x:c>
      <x:c r="Q40" s="21" t="str">
        <x:f>IF(P40="","Ready","Needs review")</x:f>
        <x:v>Needs review</x:v>
      </x:c>
      <x:c r="R40" s="22" t="str">
        <x:v>Thurman, NY</x:v>
      </x:c>
      <x:c r="S40" s="21" t="str">
        <x:f>IF(COUNTIF($A$6:$A$120,A40)&gt;1,"Duplicate","Unique")</x:f>
        <x:v>Unique</x:v>
      </x:c>
    </x:row>
    <x:row r="41">
      <x:c r="A41" s="21" t="str">
        <x:v>moses-sleeper</x:v>
      </x:c>
      <x:c r="B41" s="21" t="str">
        <x:v>Moses Sleeper</x:v>
      </x:c>
      <x:c r="C41" s="21" t="str">
        <x:v>Jasper Hill</x:v>
      </x:c>
      <x:c r="D41" s="21" t="str">
        <x:v>Greensboro</x:v>
      </x:c>
      <x:c r="E41" s="21" t="str">
        <x:v>Vermont</x:v>
      </x:c>
      <x:c r="F41" s="21" t="str">
        <x:v>USA</x:v>
      </x:c>
      <x:c r="G41" s="21" t="str">
        <x:v>pasteurized cow’s milk</x:v>
      </x:c>
      <x:c r="H41" s="21" t="str">
        <x:v>animal</x:v>
      </x:c>
      <x:c r="I41" s="21" t="str">
        <x:v>soft bloomy rind Brie style</x:v>
      </x:c>
      <x:c r="J41" s="21" t="str">
        <x:v>4-6 weeks</x:v>
      </x:c>
      <x:c r="K41" s="22" t="str">
        <x:v>buttery, creamy, nutty with notes of cauliflower, creme fraiche, hay and white mushroom</x:v>
      </x:c>
      <x:c r="L41" s="22" t="str">
        <x:v>named after a revolutionary war scout; during the fall season there is a Moses Reaper variation coated in ash with an orange hued annatto paste interior; Jasper Hill converts their dairy byproducts (whey) into food for heritage breed pigs as well as utilizing green energy</x:v>
      </x:c>
      <x:c r="M41" s="22" t="str">
        <x:v>figs, cured meats, crisp apples, crisp white wine or dry bubbly</x:v>
      </x:c>
      <x:c r="N41" s="22" t="str">
        <x:v>Soft Cheese Spec Sheets .docx</x:v>
      </x:c>
      <x:c r="O41" s="22" t="str">
        <x:v>Soft Cheese</x:v>
      </x:c>
      <x:c r="P41" s="22" t="str"/>
      <x:c r="Q41" s="21" t="str">
        <x:f>IF(P41="","Ready","Needs review")</x:f>
        <x:v>Ready</x:v>
      </x:c>
      <x:c r="R41" s="22" t="str">
        <x:v>Greensboro, Vermont</x:v>
      </x:c>
      <x:c r="S41" s="21" t="str">
        <x:f>IF(COUNTIF($A$6:$A$120,A41)&gt;1,"Duplicate","Unique")</x:f>
        <x:v>Unique</x:v>
      </x:c>
    </x:row>
    <x:row r="42">
      <x:c r="A42" s="21" t="str">
        <x:v>mt-alice</x:v>
      </x:c>
      <x:c r="B42" s="21" t="str">
        <x:v>Mt Alice</x:v>
      </x:c>
      <x:c r="C42" s="21" t="str">
        <x:v>von Trapp Farmstead</x:v>
      </x:c>
      <x:c r="D42" s="21" t="str">
        <x:v>Waitsfield</x:v>
      </x:c>
      <x:c r="E42" s="21" t="str">
        <x:v>VT</x:v>
      </x:c>
      <x:c r="F42" s="21" t="str">
        <x:v>USA</x:v>
      </x:c>
      <x:c r="G42" s="21" t="str">
        <x:v>pasteurized cow</x:v>
      </x:c>
      <x:c r="H42" s="21" t="str">
        <x:v>traditional</x:v>
      </x:c>
      <x:c r="I42" s="21" t="str">
        <x:v>bloomy rind / brie style</x:v>
      </x:c>
      <x:c r="J42" s="21" t="str">
        <x:v>Not provided in source</x:v>
      </x:c>
      <x:c r="K42" s="22" t="str">
        <x:v>Decadent, fresh milk, Clover, butter, brassicas, button mushrooms</x:v>
      </x:c>
      <x:c r="L42" s="22" t="str">
        <x:v>The von Trapp family (of The Sound of Music fame) took up residence in Vermont after the second World War, and chose the farm because the location reminded them of the landscape of their native Austria. They have been practicing regenerative agriculture on their farm since 1959, and have been making artisan cheese since 2009. Mt Alice is named for the mountain peak that you can see from the farm. Organic</x:v>
      </x:c>
      <x:c r="M42" s="22" t="str">
        <x:v>great cheese for dry cider pairings, also pairs nicely with lagers. Would recommend with veggies like broccoli &amp; cauliflower.</x:v>
      </x:c>
      <x:c r="N42" s="22" t="str">
        <x:v>Soft Cheese Spec Sheets .docx</x:v>
      </x:c>
      <x:c r="O42" s="22" t="str">
        <x:v>Soft Cheese</x:v>
      </x:c>
      <x:c r="P42" s="22" t="str">
        <x:v>Missing in source: age_description</x:v>
      </x:c>
      <x:c r="Q42" s="21" t="str">
        <x:f>IF(P42="","Ready","Needs review")</x:f>
        <x:v>Needs review</x:v>
      </x:c>
      <x:c r="R42" s="22" t="str">
        <x:v>Waitsfield, VT</x:v>
      </x:c>
      <x:c r="S42" s="21" t="str">
        <x:f>IF(COUNTIF($A$6:$A$120,A42)&gt;1,"Duplicate","Unique")</x:f>
        <x:v>Unique</x:v>
      </x:c>
    </x:row>
    <x:row r="43">
      <x:c r="A43" s="21" t="str">
        <x:v>nancy-s-camembert</x:v>
      </x:c>
      <x:c r="B43" s="21" t="str">
        <x:v>Nancy’s Camembert</x:v>
      </x:c>
      <x:c r="C43" s="21" t="str">
        <x:v>Old Chatham Creamery</x:v>
      </x:c>
      <x:c r="D43" s="21" t="str">
        <x:v>Groton</x:v>
      </x:c>
      <x:c r="E43" s="21" t="str">
        <x:v>NY</x:v>
      </x:c>
      <x:c r="F43" s="21" t="str">
        <x:v>USA</x:v>
      </x:c>
      <x:c r="G43" s="21" t="str">
        <x:v>pasteurized cow &amp; sheep</x:v>
      </x:c>
      <x:c r="H43" s="21" t="str">
        <x:v>microbial</x:v>
      </x:c>
      <x:c r="I43" s="21" t="str">
        <x:v>bloomy rind / triple cream</x:v>
      </x:c>
      <x:c r="J43" s="21" t="str">
        <x:v>Not provided in source</x:v>
      </x:c>
      <x:c r="K43" s="22" t="str">
        <x:v>Cream, Fresh Butter, Grassy</x:v>
      </x:c>
      <x:c r="L43" s="22" t="str">
        <x:v>Named after one of the original owners of the Hudson Valley creamery, this cheese reflects the farm’s artisanal roots dating back to the 1990s and its longstanding tradition of innovative American cheesemaking. It is made using sheep’s milk and then cow’s milk and cow’s cream. It’s important to note that cheese is more similar to French Delice de Bourgogne than it is to French Camembert! There are some general inconsistencies in this cheese so it is important to taste every batch!</x:v>
      </x:c>
      <x:c r="M43" s="22" t="str">
        <x:v>Wine: bubbles, I prefer prosecco or something with some sugar, it complements the sheep’s milk nicely! Additionally goes well with fruit jams, and crunchy, crispy crackers like the Rustic Bakery bites or the Maine Crisps</x:v>
      </x:c>
      <x:c r="N43" s="22" t="str">
        <x:v>Soft Cheese Spec Sheets .docx</x:v>
      </x:c>
      <x:c r="O43" s="22" t="str">
        <x:v>Soft Cheese</x:v>
      </x:c>
      <x:c r="P43" s="22" t="str">
        <x:v>Missing in source: age_description</x:v>
      </x:c>
      <x:c r="Q43" s="21" t="str">
        <x:f>IF(P43="","Ready","Needs review")</x:f>
        <x:v>Needs review</x:v>
      </x:c>
      <x:c r="R43" s="22" t="str">
        <x:v>Groton, NY</x:v>
      </x:c>
      <x:c r="S43" s="21" t="str">
        <x:f>IF(COUNTIF($A$6:$A$120,A43)&gt;1,"Duplicate","Unique")</x:f>
        <x:v>Unique</x:v>
      </x:c>
    </x:row>
    <x:row r="44">
      <x:c r="A44" s="21" t="str">
        <x:v>perail</x:v>
      </x:c>
      <x:c r="B44" s="21" t="str">
        <x:v>Perail</x:v>
      </x:c>
      <x:c r="C44" s="21" t="str">
        <x:v>Papillon</x:v>
      </x:c>
      <x:c r="D44" s="21" t="str">
        <x:v>Not provided by creamery</x:v>
      </x:c>
      <x:c r="E44" s="21" t="str">
        <x:v>Aveyron</x:v>
      </x:c>
      <x:c r="F44" s="21" t="str">
        <x:v>France</x:v>
      </x:c>
      <x:c r="G44" s="21" t="str">
        <x:v>pasteurized sheep’s milk</x:v>
      </x:c>
      <x:c r="H44" s="21" t="str">
        <x:v>Animal</x:v>
      </x:c>
      <x:c r="I44" s="21" t="str">
        <x:v>soft ripened</x:v>
      </x:c>
      <x:c r="J44" s="21" t="str">
        <x:v>young, less than 2 months</x:v>
      </x:c>
      <x:c r="K44" s="22" t="str">
        <x:v>mushroom forward, earthy, lanolin, salted cream, hay</x:v>
      </x:c>
      <x:c r="L44" s="22" t="str">
        <x:v>Small rounds of Perail are produced from any leftover milk from Roquefort production so that nothing is wasted. These are small sheep’s milk rounds perfect for baking or for a cheese board</x:v>
      </x:c>
      <x:c r="M44" s="22" t="str">
        <x:v>tart cherry jam, prosecco,</x:v>
      </x:c>
      <x:c r="N44" s="22" t="str">
        <x:v>Soft Cheese Spec Sheets .docx</x:v>
      </x:c>
      <x:c r="O44" s="22" t="str">
        <x:v>Soft Cheese</x:v>
      </x:c>
      <x:c r="P44" s="22" t="str"/>
      <x:c r="Q44" s="21" t="str">
        <x:f>IF(P44="","Ready","Needs review")</x:f>
        <x:v>Ready</x:v>
      </x:c>
      <x:c r="R44" s="22" t="str">
        <x:v>Aveyron, France</x:v>
      </x:c>
      <x:c r="S44" s="21" t="str">
        <x:f>IF(COUNTIF($A$6:$A$120,A44)&gt;1,"Duplicate","Unique")</x:f>
        <x:v>Unique</x:v>
      </x:c>
    </x:row>
    <x:row r="45">
      <x:c r="A45" s="21" t="str">
        <x:v>piper-s-pyramide</x:v>
      </x:c>
      <x:c r="B45" s="21" t="str">
        <x:v>Piper’s Pyramide</x:v>
      </x:c>
      <x:c r="C45" s="21" t="str">
        <x:v>Capriole Goat Cheese</x:v>
      </x:c>
      <x:c r="D45" s="21" t="str">
        <x:v>Greenville</x:v>
      </x:c>
      <x:c r="E45" s="21" t="str">
        <x:v>IN</x:v>
      </x:c>
      <x:c r="F45" s="21" t="str">
        <x:v>USA</x:v>
      </x:c>
      <x:c r="G45" s="21" t="str">
        <x:v>pasteurized Goat’s Milk</x:v>
      </x:c>
      <x:c r="H45" s="21" t="str">
        <x:v>traditional</x:v>
      </x:c>
      <x:c r="I45" s="21" t="str">
        <x:v>bloomy rind, flavor-added</x:v>
      </x:c>
      <x:c r="J45" s="21" t="str">
        <x:v>10 days to 6 weeks</x:v>
      </x:c>
      <x:c r="K45" s="22" t="str">
        <x:v>Lactic, Smokey, Spicy, Tangy</x:v>
      </x:c>
      <x:c r="L45" s="22" t="str">
        <x:v>a smokey paprika dusted, bloomy rind, goat cheese pyramid named for Judy Schaad’s (Capriole’s founder) granddaughter Piper.</x:v>
      </x:c>
      <x:c r="M45" s="22" t="str">
        <x:v>cured meats like rust belt saucisson from Smoking Goose, peppadews, pickled grapes</x:v>
      </x:c>
      <x:c r="N45" s="22" t="str">
        <x:v>Soft Cheese Spec Sheets .docx</x:v>
      </x:c>
      <x:c r="O45" s="22" t="str">
        <x:v>Soft Cheese</x:v>
      </x:c>
      <x:c r="P45" s="22" t="str"/>
      <x:c r="Q45" s="21" t="str">
        <x:f>IF(P45="","Ready","Needs review")</x:f>
        <x:v>Ready</x:v>
      </x:c>
      <x:c r="R45" s="22" t="str">
        <x:v>Greenville, IN</x:v>
      </x:c>
      <x:c r="S45" s="21" t="str">
        <x:f>IF(COUNTIF($A$6:$A$120,A45)&gt;1,"Duplicate","Unique")</x:f>
        <x:v>Unique</x:v>
      </x:c>
    </x:row>
    <x:row r="46">
      <x:c r="A46" s="21" t="str">
        <x:v>prix-de-diane</x:v>
      </x:c>
      <x:c r="B46" s="21" t="str">
        <x:v>Prix de Diane</x:v>
      </x:c>
      <x:c r="C46" s="21" t="str">
        <x:v>Lakins Gorges</x:v>
      </x:c>
      <x:c r="D46" s="21" t="str">
        <x:v>Waldoboro</x:v>
      </x:c>
      <x:c r="E46" s="21" t="str">
        <x:v>Maine</x:v>
      </x:c>
      <x:c r="F46" s="21" t="str">
        <x:v>USA</x:v>
      </x:c>
      <x:c r="G46" s="21" t="str">
        <x:v>Pasteurized cow</x:v>
      </x:c>
      <x:c r="H46" s="21" t="str">
        <x:v>Microbial</x:v>
      </x:c>
      <x:c r="I46" s="21" t="str">
        <x:v>Soft-ripened/Bloomy Rind/modeled after Coloummiers</x:v>
      </x:c>
      <x:c r="J46" s="21" t="str">
        <x:v>4-6 weeks</x:v>
      </x:c>
      <x:c r="K46" s="22" t="str">
        <x:v>Soft, yielding, bitter greens, butter</x:v>
      </x:c>
      <x:c r="L46" s="22" t="str">
        <x:v>Founded in 2011, Lakin’s Gorges Cheese is located in Rockport, Maine. For owner Allison Lakin, becoming a cheesemaker evolved from a background in anthropology, education, and technical theatre. When the opportunity arose in August 2011 to start her own business, without having her own cows, she took the plunge. According to Allison, cheesemaking combines her fascination with science with her love of magic. Milk for production is sourced from a single, certified organic and grass fed herd of Jersey and Jersey cross cows.</x:v>
      </x:c>
      <x:c r="M46" s="22" t="str">
        <x:v>Vouvray, Lambic ale, baguette, pears</x:v>
      </x:c>
      <x:c r="N46" s="22" t="str">
        <x:v>Soft Cheese Spec Sheets .docx</x:v>
      </x:c>
      <x:c r="O46" s="22" t="str">
        <x:v>Soft Cheese</x:v>
      </x:c>
      <x:c r="P46" s="22" t="str"/>
      <x:c r="Q46" s="21" t="str">
        <x:f>IF(P46="","Ready","Needs review")</x:f>
        <x:v>Ready</x:v>
      </x:c>
      <x:c r="R46" s="22" t="str">
        <x:v>Waldoboro, Maine</x:v>
      </x:c>
      <x:c r="S46" s="21" t="str">
        <x:f>IF(COUNTIF($A$6:$A$120,A46)&gt;1,"Duplicate","Unique")</x:f>
        <x:v>Unique</x:v>
      </x:c>
    </x:row>
    <x:row r="47">
      <x:c r="A47" s="21" t="str">
        <x:v>robiola-bosina</x:v>
      </x:c>
      <x:c r="B47" s="21" t="str">
        <x:v>Robiola Bosina</x:v>
      </x:c>
      <x:c r="C47" s="21" t="str">
        <x:v>Caseificio dell’Alta Langa</x:v>
      </x:c>
      <x:c r="D47" s="21" t="str">
        <x:v>Not provided by creamery</x:v>
      </x:c>
      <x:c r="E47" s="21" t="str">
        <x:v>Piedmont</x:v>
      </x:c>
      <x:c r="F47" s="21" t="str">
        <x:v>Italy</x:v>
      </x:c>
      <x:c r="G47" s="21" t="str">
        <x:v>cow and sheep milk</x:v>
      </x:c>
      <x:c r="H47" s="21" t="str">
        <x:v>animal</x:v>
      </x:c>
      <x:c r="I47" s="21" t="str">
        <x:v>soft</x:v>
      </x:c>
      <x:c r="J47" s="21" t="str">
        <x:v>10-15 days</x:v>
      </x:c>
      <x:c r="K47" s="22" t="str">
        <x:v>mild, buttery, earthy, mushroom with hints of sweetness and salt</x:v>
      </x:c>
      <x:c r="L47" s="22" t="str">
        <x:v>cheese is named after Bosia, the village where the creamery is located, the steep hilly terrain of the area was historically too rugged for large cattle farming and families had a few cows and a small flock of sheep; during the spring and summer calving seasons the milk production fluctuated and in order to make a batch of cheese local women were forced to pool the available milk blending the cow and sheep milk in the same bucket; they accidentally found that the cow’s milk provide a sweet buttery base and that the sheep’s milk which was high in fat added a velvety richness</x:v>
      </x:c>
      <x:c r="M47" s="22" t="str">
        <x:v>fresh berries and honey, marcona almonds, prosciutto, warm sourdough bread</x:v>
      </x:c>
      <x:c r="N47" s="22" t="str">
        <x:v>Soft Cheese Spec Sheets .docx</x:v>
      </x:c>
      <x:c r="O47" s="22" t="str">
        <x:v>Soft Cheese</x:v>
      </x:c>
      <x:c r="P47" s="22" t="str"/>
      <x:c r="Q47" s="21" t="str">
        <x:f>IF(P47="","Ready","Needs review")</x:f>
        <x:v>Ready</x:v>
      </x:c>
      <x:c r="R47" s="22" t="str">
        <x:v>Piedmont, Italy</x:v>
      </x:c>
      <x:c r="S47" s="21" t="str">
        <x:f>IF(COUNTIF($A$6:$A$120,A47)&gt;1,"Duplicate","Unique")</x:f>
        <x:v>Unique</x:v>
      </x:c>
    </x:row>
    <x:row r="48">
      <x:c r="A48" s="21" t="str">
        <x:v>shabby-shoe</x:v>
      </x:c>
      <x:c r="B48" s="21" t="str">
        <x:v>Shabby Shoe</x:v>
      </x:c>
      <x:c r="C48" s="21" t="str">
        <x:v>Blakesville Creamery</x:v>
      </x:c>
      <x:c r="D48" s="21" t="str">
        <x:v>Port Washington</x:v>
      </x:c>
      <x:c r="E48" s="21" t="str">
        <x:v>WI</x:v>
      </x:c>
      <x:c r="F48" s="21" t="str">
        <x:v>USA</x:v>
      </x:c>
      <x:c r="G48" s="21" t="str">
        <x:v>pasteurized goat’s milk</x:v>
      </x:c>
      <x:c r="H48" s="21" t="str">
        <x:v>microbial</x:v>
      </x:c>
      <x:c r="I48" s="21" t="str">
        <x:v>bloomy rind, geotrichum base</x:v>
      </x:c>
      <x:c r="J48" s="21" t="str">
        <x:v>3 weeks before shipping &amp; up to 90 days</x:v>
      </x:c>
      <x:c r="K48" s="22" t="str">
        <x:v>Heavy Cream, Lemony, Tart, Earthy Minerality</x:v>
      </x:c>
      <x:c r="L48" s="22" t="str">
        <x:v>based on the French cheese, Chabichou, this is a larger format geotrichum-rinded goat cheese. From Blakeville Creamery, led by Veronica Pedraza, this creamery is located on the same plot of land as the farm, but because it has two separate owners it is not necessarily farmstead in origin</x:v>
      </x:c>
      <x:c r="M48" s="22" t="str">
        <x:v>best paired with french white wines from the Loire, effie’s corn crackers, Flouwer Crackers, or lemon curd</x:v>
      </x:c>
      <x:c r="N48" s="22" t="str">
        <x:v>Soft Cheese Spec Sheets .docx</x:v>
      </x:c>
      <x:c r="O48" s="22" t="str">
        <x:v>Soft Cheese</x:v>
      </x:c>
      <x:c r="P48" s="22" t="str"/>
      <x:c r="Q48" s="21" t="str">
        <x:f>IF(P48="","Ready","Needs review")</x:f>
        <x:v>Ready</x:v>
      </x:c>
      <x:c r="R48" s="22" t="str">
        <x:v>Port Washington, WI</x:v>
      </x:c>
      <x:c r="S48" s="21" t="str">
        <x:f>IF(COUNTIF($A$6:$A$120,A48)&gt;1,"Duplicate","Unique")</x:f>
        <x:v>Unique</x:v>
      </x:c>
    </x:row>
    <x:row r="49">
      <x:c r="A49" s="21" t="str">
        <x:v>sofia</x:v>
      </x:c>
      <x:c r="B49" s="21" t="str">
        <x:v>Sofia</x:v>
      </x:c>
      <x:c r="C49" s="21" t="str">
        <x:v>Capriole Creamery</x:v>
      </x:c>
      <x:c r="D49" s="21" t="str">
        <x:v>Not provided by creamery</x:v>
      </x:c>
      <x:c r="E49" s="21" t="str">
        <x:v>Southern Indiana</x:v>
      </x:c>
      <x:c r="F49" s="21" t="str">
        <x:v>USA</x:v>
      </x:c>
      <x:c r="G49" s="21" t="str">
        <x:v>Pasteurized Goat</x:v>
      </x:c>
      <x:c r="H49" s="21" t="str">
        <x:v>Animal</x:v>
      </x:c>
      <x:c r="I49" s="21" t="str">
        <x:v>Mold-ripened/Soft-ripened/Bloomy-rind</x:v>
      </x:c>
      <x:c r="J49" s="21" t="str">
        <x:v>Released as soon as a rind forms (fewer than two weeks)</x:v>
      </x:c>
      <x:c r="K49" s="22" t="str">
        <x:v>Clean, tangy, lemon, pepper, bright</x:v>
      </x:c>
      <x:c r="L49" s="22" t="str">
        <x:v>Capriole’s most popular goat’s milk cheese, it won a Good Food Award in 2020. Inspired by the creamery’s love affair with the Loire in France. This cheese gets dribbly when it ripens, and the paste is spreadable.</x:v>
      </x:c>
      <x:c r="M49" s="22" t="str">
        <x:v>Vouvray, cool climate Sauvignon Blanc, fresh fruit, dried apricots, crusty bread</x:v>
      </x:c>
      <x:c r="N49" s="22" t="str">
        <x:v>Soft Cheese Spec Sheets .docx</x:v>
      </x:c>
      <x:c r="O49" s="22" t="str">
        <x:v>Soft Cheese</x:v>
      </x:c>
      <x:c r="P49" s="22" t="str"/>
      <x:c r="Q49" s="21" t="str">
        <x:f>IF(P49="","Ready","Needs review")</x:f>
        <x:v>Ready</x:v>
      </x:c>
      <x:c r="R49" s="22" t="str">
        <x:v>Southern Indiana</x:v>
      </x:c>
      <x:c r="S49" s="21" t="str">
        <x:f>IF(COUNTIF($A$6:$A$120,A49)&gt;1,"Duplicate","Unique")</x:f>
        <x:v>Unique</x:v>
      </x:c>
    </x:row>
    <x:row r="50">
      <x:c r="A50" s="21" t="str">
        <x:v>tomme-1947</x:v>
      </x:c>
      <x:c r="B50" s="21" t="str">
        <x:v>Tomme 1947</x:v>
      </x:c>
      <x:c r="C50" s="21" t="str">
        <x:v>Fromagerie Pascal Jacquin et Fils</x:v>
      </x:c>
      <x:c r="D50" s="21" t="str">
        <x:v>La Vernelle</x:v>
      </x:c>
      <x:c r="E50" s="21" t="str">
        <x:v>(central</x:v>
      </x:c>
      <x:c r="F50" s="21" t="str">
        <x:v>France</x:v>
      </x:c>
      <x:c r="G50" s="21" t="str">
        <x:v>pasteurized goat’s milk</x:v>
      </x:c>
      <x:c r="H50" s="21" t="str">
        <x:v>traditional</x:v>
      </x:c>
      <x:c r="I50" s="21" t="str">
        <x:v>ash-dusted bloomy rind</x:v>
      </x:c>
      <x:c r="J50" s="21" t="str">
        <x:v>Not provided in source</x:v>
      </x:c>
      <x:c r="K50" s="22" t="str">
        <x:v>Greek Yogurt, Lemon Zest, Limestone</x:v>
      </x:c>
      <x:c r="L50" s="22" t="str">
        <x:v>From a family run cheese making business in central France, Tomme 1947 was originally named Tomme Chevre Grand Mere Adrienne, or Grandma Adrienne’s Goat cheese! Jacquin is a family run business with 2 generations currently leading it. The milk for this cheese comes from local farms all within 30 miles of the cheesemaking factory</x:v>
      </x:c>
      <x:c r="M50" s="22" t="str">
        <x:v>what grows together goes together, Chenin Blanc, Sav Blanc!</x:v>
      </x:c>
      <x:c r="N50" s="22" t="str">
        <x:v>Soft Cheese Spec Sheets .docx</x:v>
      </x:c>
      <x:c r="O50" s="22" t="str">
        <x:v>Soft Cheese</x:v>
      </x:c>
      <x:c r="P50" s="22" t="str">
        <x:v>Missing in source: age_description</x:v>
      </x:c>
      <x:c r="Q50" s="21" t="str">
        <x:f>IF(P50="","Ready","Needs review")</x:f>
        <x:v>Needs review</x:v>
      </x:c>
      <x:c r="R50" s="22" t="str">
        <x:v>La Vernelle, France (central)</x:v>
      </x:c>
      <x:c r="S50" s="21" t="str">
        <x:f>IF(COUNTIF($A$6:$A$120,A50)&gt;1,"Duplicate","Unique")</x:f>
        <x:v>Unique</x:v>
      </x:c>
    </x:row>
    <x:row r="51">
      <x:c r="A51" s="21" t="str">
        <x:v>wabash-cannonball</x:v>
      </x:c>
      <x:c r="B51" s="21" t="str">
        <x:v>Wabash Cannonball</x:v>
      </x:c>
      <x:c r="C51" s="21" t="str">
        <x:v>Capriole Creamery</x:v>
      </x:c>
      <x:c r="D51" s="21" t="str">
        <x:v>Not provided by creamery</x:v>
      </x:c>
      <x:c r="E51" s="21" t="str">
        <x:v>Southern Indiana</x:v>
      </x:c>
      <x:c r="F51" s="21" t="str">
        <x:v>USA</x:v>
      </x:c>
      <x:c r="G51" s="21" t="str">
        <x:v>Pasteurized Goat’s Milk</x:v>
      </x:c>
      <x:c r="H51" s="21" t="str">
        <x:v>Animal</x:v>
      </x:c>
      <x:c r="I51" s="21" t="str">
        <x:v>Geotrichum/Soft-ripened/Ashed</x:v>
      </x:c>
      <x:c r="J51" s="21" t="str">
        <x:v>7-10 days</x:v>
      </x:c>
      <x:c r="K51" s="22" t="str">
        <x:v>Lemony, Peppery, Musky, Lactic</x:v>
      </x:c>
      <x:c r="L51" s="22" t="str">
        <x:v>Named after the famous train and eponymous song of southern Indiana, production of the Wabash Cannonball began in 1992. Dusted with ash, the cheese is thin skinned, white, and slightly wrinkled when young. At three weeks the rind becomes more deeply wrinkled and the ash begins to peek through. The paste becomes denser, and eventually, at three to five weeks, is drier and more crumbly.</x:v>
      </x:c>
      <x:c r="M51" s="22" t="str">
        <x:v>Dry whites, like Grüner Veltiner, New Zealand Sauvignon Blanc, Whole muscle charcuterie, pears and apples</x:v>
      </x:c>
      <x:c r="N51" s="22" t="str">
        <x:v>Soft Cheese Spec Sheets .docx</x:v>
      </x:c>
      <x:c r="O51" s="22" t="str">
        <x:v>Soft Cheese</x:v>
      </x:c>
      <x:c r="P51" s="22" t="str"/>
      <x:c r="Q51" s="21" t="str">
        <x:f>IF(P51="","Ready","Needs review")</x:f>
        <x:v>Ready</x:v>
      </x:c>
      <x:c r="R51" s="22" t="str">
        <x:v>Southern Indiana</x:v>
      </x:c>
      <x:c r="S51" s="21" t="str">
        <x:f>IF(COUNTIF($A$6:$A$120,A51)&gt;1,"Duplicate","Unique")</x:f>
        <x:v>Unique</x:v>
      </x:c>
    </x:row>
    <x:row r="52">
      <x:c r="A52" s="21" t="str">
        <x:v>bella-bantam</x:v>
      </x:c>
      <x:c r="B52" s="21" t="str">
        <x:v>Bella Bantam</x:v>
      </x:c>
      <x:c r="C52" s="21" t="str">
        <x:v>Arethusa Farm</x:v>
      </x:c>
      <x:c r="D52" s="21" t="str">
        <x:v>Litchfield</x:v>
      </x:c>
      <x:c r="E52" s="21" t="str">
        <x:v>CT</x:v>
      </x:c>
      <x:c r="F52" s="21" t="str">
        <x:v>USA</x:v>
      </x:c>
      <x:c r="G52" s="21" t="str">
        <x:v>Pasteurized, cow’s milk</x:v>
      </x:c>
      <x:c r="H52" s="21" t="str">
        <x:v>traditional</x:v>
      </x:c>
      <x:c r="I52" s="21" t="str">
        <x:v>tomme</x:v>
      </x:c>
      <x:c r="J52" s="21" t="str">
        <x:v>1-4 months</x:v>
      </x:c>
      <x:c r="K52" s="22" t="str">
        <x:v>Buttered Popcorn, Salty, Fresh Milk</x:v>
      </x:c>
      <x:c r="L52" s="22" t="str">
        <x:v>An aged cow’s milk cheese. Very mild and good for melting. In 1999 Manolo Blahnik execs, and partners, George Malkemus and Anthony Yurgaitis bought the farm in 1999 to “save open farmland”. George passed in 2021, but Anthony continues to fund the farm. Arethusa Farm started in 1868</x:v>
      </x:c>
      <x:c r="M52" s="22" t="str">
        <x:v>berry jams, apricots, effies oat cakes, Belgian farmhouse ales, Chardonnays</x:v>
      </x:c>
      <x:c r="N52" s="22" t="str">
        <x:v>Hard Aged Cheese Spec Sheets.docx</x:v>
      </x:c>
      <x:c r="O52" s="22" t="str">
        <x:v>Hard Aged Cheese</x:v>
      </x:c>
      <x:c r="P52" s="22" t="str"/>
      <x:c r="Q52" s="21" t="str">
        <x:f>IF(P52="","Ready","Needs review")</x:f>
        <x:v>Ready</x:v>
      </x:c>
      <x:c r="R52" s="22" t="str">
        <x:v>Litchfield, CT</x:v>
      </x:c>
      <x:c r="S52" s="21" t="str">
        <x:f>IF(COUNTIF($A$6:$A$120,A52)&gt;1,"Duplicate","Unique")</x:f>
        <x:v>Unique</x:v>
      </x:c>
    </x:row>
    <x:row r="53">
      <x:c r="A53" s="21" t="str">
        <x:v>cravero-parmigiano-reggiano</x:v>
      </x:c>
      <x:c r="B53" s="21" t="str">
        <x:v>Cravero Parmigiano Reggiano</x:v>
      </x:c>
      <x:c r="C53" s="21" t="str">
        <x:v>Cheesemaker Massimo Libra Latterie 2659 in Benedello di Pavullo, est. 1973, aged by Cravery, imported by Essex St. Cheese</x:v>
      </x:c>
      <x:c r="D53" s="21" t="str">
        <x:v>Benedello di Pavullo</x:v>
      </x:c>
      <x:c r="E53" s="21" t="str">
        <x:v>aged in Bra</x:v>
      </x:c>
      <x:c r="F53" s="21" t="str">
        <x:v>Italy</x:v>
      </x:c>
      <x:c r="G53" s="21" t="str">
        <x:v>Raw Cow</x:v>
      </x:c>
      <x:c r="H53" s="21" t="str">
        <x:v>Animal</x:v>
      </x:c>
      <x:c r="I53" s="21" t="str">
        <x:v>Grana</x:v>
      </x:c>
      <x:c r="J53" s="21" t="str">
        <x:v>Minimum 12 months, but many are aged 24-36 months</x:v>
      </x:c>
      <x:c r="K53" s="22" t="str">
        <x:v>Softer texture than other parmigiano, acidic, savory, toothsome</x:v>
      </x:c>
      <x:c r="L53" s="22" t="str">
        <x:v>Giorgio Cravero’s family has selected and aged Parmigiano Reggiano in Bra, Italy since 1855. Just off the main drag of the town of Bra, home to Slow Food’s biennial Cheese festival, lie the halls of Cravero. Twenty-foot high rooms that hold five thousand wheels of Parmigiano Reggiano. Cravero’s wheels rest on pine and they turn their wheels more frequently than other agers with an aim to make a softer, less cakey texture. Aging rooms like Cravero’s have long been a part of the cycle of making and selling Parmigiano Reggiano, much like they are for other long-aged cheeses like Comté and Gouda, cheeses whose lengthy affinage represents a real cash flow issue to farmers and cheesemakers.</x:v>
      </x:c>
      <x:c r="M53" s="22" t="str">
        <x:v>Prosecco, robust red wines, sprite, prosciutto, olives, snacky fare or in recipes</x:v>
      </x:c>
      <x:c r="N53" s="22" t="str">
        <x:v>Hard Aged Cheese Spec Sheets.docx</x:v>
      </x:c>
      <x:c r="O53" s="22" t="str">
        <x:v>Hard Aged Cheese</x:v>
      </x:c>
      <x:c r="P53" s="22" t="str"/>
      <x:c r="Q53" s="21" t="str">
        <x:f>IF(P53="","Ready","Needs review")</x:f>
        <x:v>Ready</x:v>
      </x:c>
      <x:c r="R53" s="22" t="str">
        <x:v>Benedello di Pavullo, aged in Bra, Italy</x:v>
      </x:c>
      <x:c r="S53" s="21" t="str">
        <x:f>IF(COUNTIF($A$6:$A$120,A53)&gt;1,"Duplicate","Unique")</x:f>
        <x:v>Unique</x:v>
      </x:c>
    </x:row>
    <x:row r="54">
      <x:c r="A54" s="21" t="str">
        <x:v>fulvi-pecorino-romano</x:v>
      </x:c>
      <x:c r="B54" s="21" t="str">
        <x:v>Fulvi Pecorino Romano</x:v>
      </x:c>
      <x:c r="C54" s="21" t="str">
        <x:v>Fulvi</x:v>
      </x:c>
      <x:c r="D54" s="21" t="str">
        <x:v>Not provided by creamery</x:v>
      </x:c>
      <x:c r="E54" s="21" t="str">
        <x:v>Lazio</x:v>
      </x:c>
      <x:c r="F54" s="21" t="str">
        <x:v>Italy</x:v>
      </x:c>
      <x:c r="G54" s="21" t="str">
        <x:v>Raw Sheep</x:v>
      </x:c>
      <x:c r="H54" s="21" t="str">
        <x:v>Animal</x:v>
      </x:c>
      <x:c r="I54" s="21" t="str">
        <x:v>Cooked, Pressed</x:v>
      </x:c>
      <x:c r="J54" s="21" t="str">
        <x:v>10-12 months</x:v>
      </x:c>
      <x:c r="K54" s="22" t="str">
        <x:v>Salty, briny, pastoral, lanolin, dry, crumbly</x:v>
      </x:c>
      <x:c r="L54" s="22" t="str">
        <x:v>Fulvi Pecorino Romano is an authentic Italian cheese made from 100% sheep's milk, produced in the Roman countryside. It is known for its moon-white interior, feathery granular texture, and a briny, slightly peppery flavor. This cheese is traditionally aged for 10 months to 1 year and is coated in black wax, making it distinct from other Pecorino Romano cheeses. Fulvi Pecorino Romano is celebrated for its rich taste, being less salty and dry compared to other varieties, and is often described as pleasantly gamey with a complex flavor profile.</x:v>
      </x:c>
      <x:c r="M54" s="22" t="str">
        <x:v>Used for cooking, Aglianico, Left Bank Bordeaux, Sagrantino, sweet cider, pomegranate juice, drinking chocolate</x:v>
      </x:c>
      <x:c r="N54" s="22" t="str">
        <x:v>Hard Aged Cheese Spec Sheets.docx</x:v>
      </x:c>
      <x:c r="O54" s="22" t="str">
        <x:v>Hard Aged Cheese</x:v>
      </x:c>
      <x:c r="P54" s="22" t="str"/>
      <x:c r="Q54" s="21" t="str">
        <x:f>IF(P54="","Ready","Needs review")</x:f>
        <x:v>Ready</x:v>
      </x:c>
      <x:c r="R54" s="22" t="str">
        <x:v>Lazio, Italy</x:v>
      </x:c>
      <x:c r="S54" s="21" t="str">
        <x:f>IF(COUNTIF($A$6:$A$120,A54)&gt;1,"Duplicate","Unique")</x:f>
        <x:v>Unique</x:v>
      </x:c>
    </x:row>
    <x:row r="55">
      <x:c r="A55" s="21" t="str">
        <x:v>mariana</x:v>
      </x:c>
      <x:c r="B55" s="21" t="str">
        <x:v>Mariana</x:v>
      </x:c>
      <x:c r="C55" s="21" t="str">
        <x:v>Blakesville Creamery</x:v>
      </x:c>
      <x:c r="D55" s="21" t="str">
        <x:v>Port Washington</x:v>
      </x:c>
      <x:c r="E55" s="21" t="str">
        <x:v>WI</x:v>
      </x:c>
      <x:c r="F55" s="21" t="str">
        <x:v>USA</x:v>
      </x:c>
      <x:c r="G55" s="21" t="str">
        <x:v>Pasteurized sheep’s milk</x:v>
      </x:c>
      <x:c r="H55" s="21" t="str">
        <x:v>traditional</x:v>
      </x:c>
      <x:c r="I55" s="21" t="str">
        <x:v>aged, manchego-adjacent</x:v>
      </x:c>
      <x:c r="J55" s="21" t="str">
        <x:v>3-6 months</x:v>
      </x:c>
      <x:c r="K55" s="22" t="str">
        <x:v>Rich, Salty, Lactic, and Unctuous</x:v>
      </x:c>
      <x:c r="L55" s="22" t="str">
        <x:v>made with sheep milk from Mrs J &amp; Co in Monroe, WI. Mariana is similar to a manchego-style. Blakesville Creamery is a female-run dairy and Mrs J &amp; Co is a female-led sheep farm. Blakesville focuses on small ruminant milk cheeses, which is quite exceptional in Wisconsin. They basically reject</x:v>
      </x:c>
      <x:c r="M55" s="22" t="str">
        <x:v>Not provided in source</x:v>
      </x:c>
      <x:c r="N55" s="22" t="str">
        <x:v>Hard Aged Cheese Spec Sheets.docx</x:v>
      </x:c>
      <x:c r="O55" s="22" t="str">
        <x:v>Hard Aged Cheese</x:v>
      </x:c>
      <x:c r="P55" s="22" t="str">
        <x:v>Missing in source: pairings</x:v>
      </x:c>
      <x:c r="Q55" s="21" t="str">
        <x:f>IF(P55="","Ready","Needs review")</x:f>
        <x:v>Needs review</x:v>
      </x:c>
      <x:c r="R55" s="22" t="str">
        <x:v>Port Washington, WI</x:v>
      </x:c>
      <x:c r="S55" s="21" t="str">
        <x:f>IF(COUNTIF($A$6:$A$120,A55)&gt;1,"Duplicate","Unique")</x:f>
        <x:v>Unique</x:v>
      </x:c>
    </x:row>
    <x:row r="56">
      <x:c r="A56" s="21" t="str">
        <x:v>ragusano</x:v>
      </x:c>
      <x:c r="B56" s="21" t="str">
        <x:v>Ragusano</x:v>
      </x:c>
      <x:c r="C56" s="21" t="str">
        <x:v>Guffanti</x:v>
      </x:c>
      <x:c r="D56" s="21" t="str">
        <x:v>Ragusa</x:v>
      </x:c>
      <x:c r="E56" s="21" t="str">
        <x:v>Sicily</x:v>
      </x:c>
      <x:c r="F56" s="21" t="str">
        <x:v>USA</x:v>
      </x:c>
      <x:c r="G56" s="21" t="str">
        <x:v>Raw Cow</x:v>
      </x:c>
      <x:c r="H56" s="21" t="str">
        <x:v>Animal</x:v>
      </x:c>
      <x:c r="I56" s="21" t="str">
        <x:v>{asta Filata</x:v>
      </x:c>
      <x:c r="J56" s="21" t="str">
        <x:v>Minimum 90 days</x:v>
      </x:c>
      <x:c r="K56" s="22" t="str">
        <x:v>Saline, briney, springy texture, good stretch when melted</x:v>
      </x:c>
      <x:c r="L56" s="22" t="str">
        <x:v>In Sicily, caciocavallo traditionally takes the shape of a parallelepiped. To be Ragusano DOP, it must be produced with milk from Modicana cows, now rare and almost extinct, fed on grass or hay. Otherwise, if the milk comes from cows of other breeds, it takes the name “Cosacavaddu Rausanu”. The pastures they come from are those of the Iblean plateau, poor but characterised by a great variety of spontaneous flora and aromatic herbs. This cheese is stored in pairs on a string to allow the forms to air out as best as possible, and hung from a beam, as is done with round caciocavallo. During the maturing process, the cheeses are greased with oil mixed with vinegar. Due to the size of the cheeses, their production requires great manual skill on the part of the cheesemaker, who uses traditional techniques and tools.</x:v>
      </x:c>
      <x:c r="M56" s="22" t="str">
        <x:v>Etna DOP, saline white wines, like Spanish Albariño, Muscadet Sevre et Marne, iced tea, ground mustard, whole muscle charcuterie</x:v>
      </x:c>
      <x:c r="N56" s="22" t="str">
        <x:v>Hard Aged Cheese Spec Sheets.docx</x:v>
      </x:c>
      <x:c r="O56" s="22" t="str">
        <x:v>Hard Aged Cheese</x:v>
      </x:c>
      <x:c r="P56" s="22" t="str"/>
      <x:c r="Q56" s="21" t="str">
        <x:f>IF(P56="","Ready","Needs review")</x:f>
        <x:v>Ready</x:v>
      </x:c>
      <x:c r="R56" s="22" t="str">
        <x:v>Ragusa, Sicily, Italy</x:v>
      </x:c>
      <x:c r="S56" s="21" t="str">
        <x:f>IF(COUNTIF($A$6:$A$120,A56)&gt;1,"Duplicate","Unique")</x:f>
        <x:v>Unique</x:v>
      </x:c>
    </x:row>
    <x:row r="57">
      <x:c r="A57" s="21" t="str">
        <x:v>sierra-la-solana</x:v>
      </x:c>
      <x:c r="B57" s="21" t="str">
        <x:v>Sierra la Solana</x:v>
      </x:c>
      <x:c r="C57" s="21" t="str">
        <x:v>Sierra la Solana Farm, Cheesemaker Maria Jose Gonzales</x:v>
      </x:c>
      <x:c r="D57" s="21" t="str">
        <x:v>La Mancha</x:v>
      </x:c>
      <x:c r="E57" s="21" t="str">
        <x:v>Spaine</x:v>
      </x:c>
      <x:c r="F57" s="21" t="str">
        <x:v>Spain</x:v>
      </x:c>
      <x:c r="G57" s="21" t="str">
        <x:v>Raw Sheep</x:v>
      </x:c>
      <x:c r="H57" s="21" t="str">
        <x:v>Animal</x:v>
      </x:c>
      <x:c r="I57" s="21" t="str">
        <x:v>Manchego, cooked/pressed</x:v>
      </x:c>
      <x:c r="J57" s="21" t="str">
        <x:v>6 months</x:v>
      </x:c>
      <x:c r="K57" s="22" t="str">
        <x:v>Truffly, umami, clean, pastoral</x:v>
      </x:c>
      <x:c r="L57" s="22" t="str">
        <x:v>Using locally foraged Tuber Melanosporum truffles that are harvested in Teruel, Spain by a woman-owned company, Sierra La Salona is a diamond in the rough. These cooked truffles are added to the milk of Manchega breed ewes, all born on Finca Sierra de la Solana Farm founded in La Mancha, Spain in 1878. The curds are then pressed into the traditional Manchego molds of the region, resulting in truffle as a perfect expression of terroir. Cheesemaker Maria José Gonzalez works with 1200 Manchego ewes whose lambs are born in the spring and fall to the quiet playing of Mariachi music, and they feed on a mix of native grains grown on the farm.</x:v>
      </x:c>
      <x:c r="M57" s="22" t="str">
        <x:v>Cencibel (Tempranillo), Hazy IPA, Dr. Pepper, Black Tea, Jamon, Olives</x:v>
      </x:c>
      <x:c r="N57" s="22" t="str">
        <x:v>Hard Aged Cheese Spec Sheets.docx</x:v>
      </x:c>
      <x:c r="O57" s="22" t="str">
        <x:v>Hard Aged Cheese</x:v>
      </x:c>
      <x:c r="P57" s="22" t="str"/>
      <x:c r="Q57" s="21" t="str">
        <x:f>IF(P57="","Ready","Needs review")</x:f>
        <x:v>Ready</x:v>
      </x:c>
      <x:c r="R57" s="22" t="str">
        <x:v>La Mancha, Spaine</x:v>
      </x:c>
      <x:c r="S57" s="21" t="str">
        <x:f>IF(COUNTIF($A$6:$A$120,A57)&gt;1,"Duplicate","Unique")</x:f>
        <x:v>Unique</x:v>
      </x:c>
    </x:row>
    <x:row r="58">
      <x:c r="A58" s="21" t="str">
        <x:v>brabander</x:v>
      </x:c>
      <x:c r="B58" s="21" t="str">
        <x:v>Brabander</x:v>
      </x:c>
      <x:c r="C58" s="21" t="str">
        <x:v>A cooperative Dairy and sold through L’Amuse, imported by Essex</x:v>
      </x:c>
      <x:c r="D58" s="21" t="str">
        <x:v>Zigerfeld</x:v>
      </x:c>
      <x:c r="E58" s="21" t="str">
        <x:v>Holland</x:v>
      </x:c>
      <x:c r="F58" s="21" t="str">
        <x:v>Netherlands</x:v>
      </x:c>
      <x:c r="G58" s="21" t="str">
        <x:v>Pasteurized Saanen Goat</x:v>
      </x:c>
      <x:c r="H58" s="21" t="str">
        <x:v>Animal</x:v>
      </x:c>
      <x:c r="I58" s="21" t="str">
        <x:v>Gouda</x:v>
      </x:c>
      <x:c r="J58" s="21" t="str">
        <x:v>6-9 months</x:v>
      </x:c>
      <x:c r="K58" s="22" t="str">
        <x:v>Sweet, nutty, delicate, candied, approachable</x:v>
      </x:c>
      <x:c r="L58" s="22" t="str">
        <x:v>Betty Koster founded Fromagerie l’Amuse in 1989 with her husband Martin. Their Amsterdam shop is a destination for cheese lovers, featuring rare, small-production Dutch gems like Wilde Weide and Terschelling. Betty’s deep, long-term connections with Dutch farmers, cheesemakers and opleggers (affineurs) has given her access to an unparalleled range of cheeses. She exports a handful to America exclusively through Essex St. Cheese. Opleggers: Dutch cheese affinage is managed by an oplegger who operates as a milk middle-man, buying cheese when it’s young, selling cheese when it’s older. The word comes from the Dutch verb “to lay something on a shelf,” which is a lovely understatement of the work these craftsmen cheese agers do.Betty's opleggers sometimes age wheels at warmer-than-normal temperatures. It’s a high wire act of affinage, one that can produce off flavors if not done carefully.</x:v>
      </x:c>
      <x:c r="M58" s="22" t="str">
        <x:v>Dutch Dubbel and Trippel Ales, Argentinian Malbec, plush Merlot, Ginger beer, fresh fruit</x:v>
      </x:c>
      <x:c r="N58" s="22" t="str">
        <x:v>Gouda Spec Sheets.docx</x:v>
      </x:c>
      <x:c r="O58" s="22" t="str">
        <x:v>Gouda</x:v>
      </x:c>
      <x:c r="P58" s="22" t="str"/>
      <x:c r="Q58" s="21" t="str">
        <x:f>IF(P58="","Ready","Needs review")</x:f>
        <x:v>Ready</x:v>
      </x:c>
      <x:c r="R58" s="22" t="str">
        <x:v>Zigerfeld, Holland</x:v>
      </x:c>
      <x:c r="S58" s="21" t="str">
        <x:f>IF(COUNTIF($A$6:$A$120,A58)&gt;1,"Duplicate","Unique")</x:f>
        <x:v>Unique</x:v>
      </x:c>
    </x:row>
    <x:row r="59">
      <x:c r="A59" s="21" t="str">
        <x:v>buffelkaas-buffalo-gouda</x:v>
      </x:c>
      <x:c r="B59" s="21" t="str">
        <x:v>Buffelkaas (Buffalo Gouda)</x:v>
      </x:c>
      <x:c r="C59" s="21" t="str">
        <x:v>Treur Kaas</x:v>
      </x:c>
      <x:c r="D59" s="21" t="str">
        <x:v>Not provided by creamery</x:v>
      </x:c>
      <x:c r="E59" s="21" t="str">
        <x:v>Woerden</x:v>
      </x:c>
      <x:c r="F59" s="21" t="str">
        <x:v>Netherlands</x:v>
      </x:c>
      <x:c r="G59" s="21" t="str">
        <x:v>pasteurized buffalo milk</x:v>
      </x:c>
      <x:c r="H59" s="21" t="str">
        <x:v>Vegetarian</x:v>
      </x:c>
      <x:c r="I59" s="21" t="str">
        <x:v>Gouda style, semi firm</x:v>
      </x:c>
      <x:c r="J59" s="21" t="str">
        <x:v>8 weeks</x:v>
      </x:c>
      <x:c r="K59" s="22" t="str">
        <x:v>Mild, creamy, and smooth with a soft, buttery body. Light sweetness from the buffalo milk with subtle notes of fresh cream and a gentle, lactic finish. Less nutty and complex than aged Gouda, but extra rich and silky. Great for melting!</x:v>
      </x:c>
      <x:c r="L59" s="22" t="str">
        <x:v>This is a young Gouda style cheese made with Dutch buffalo milk, aged for about 8 weeks. Because it’s younger, it keeps that soft, elastic texture and super approachable flavor. The high fat content from the buffalo milk gives it that lush, almost melt-in-your-mouth quality without needing long aging. It’s a great intro cheese that still feels special.</x:v>
      </x:c>
      <x:c r="M59" s="22" t="str">
        <x:v>Honey, Apricot jam, Green apple, Pear, Prosciutto, Pilsner, Light white wines</x:v>
      </x:c>
      <x:c r="N59" s="22" t="str">
        <x:v>Gouda Spec Sheets.docx</x:v>
      </x:c>
      <x:c r="O59" s="22" t="str">
        <x:v>Gouda</x:v>
      </x:c>
      <x:c r="P59" s="22" t="str"/>
      <x:c r="Q59" s="21" t="str">
        <x:f>IF(P59="","Ready","Needs review")</x:f>
        <x:v>Ready</x:v>
      </x:c>
      <x:c r="R59" s="22" t="str">
        <x:v>Woerden, Netherlands</x:v>
      </x:c>
      <x:c r="S59" s="21" t="str">
        <x:f>IF(COUNTIF($A$6:$A$120,A59)&gt;1,"Duplicate","Unique")</x:f>
        <x:v>Unique</x:v>
      </x:c>
    </x:row>
    <x:row r="60">
      <x:c r="A60" s="21" t="str">
        <x:v>double-dutch</x:v>
      </x:c>
      <x:c r="B60" s="21" t="str">
        <x:v>Double Dutch</x:v>
      </x:c>
      <x:c r="C60" s="21" t="str">
        <x:v>Treur Kaas</x:v>
      </x:c>
      <x:c r="D60" s="21" t="str">
        <x:v>Not provided by creamery</x:v>
      </x:c>
      <x:c r="E60" s="21" t="str">
        <x:v>Ouddorp</x:v>
      </x:c>
      <x:c r="F60" s="21" t="str">
        <x:v>Netherlands</x:v>
      </x:c>
      <x:c r="G60" s="21" t="str">
        <x:v>Pasteurized cow &amp; goat’s milk</x:v>
      </x:c>
      <x:c r="H60" s="21" t="str">
        <x:v>microbial / vegetarian</x:v>
      </x:c>
      <x:c r="I60" s="21" t="str">
        <x:v>gouda</x:v>
      </x:c>
      <x:c r="J60" s="21" t="str">
        <x:v>Not provided in source</x:v>
      </x:c>
      <x:c r="K60" s="22" t="str">
        <x:v>Salted Caramel, Tangy, Rich</x:v>
      </x:c>
      <x:c r="L60" s="22" t="str">
        <x:v>Also called ‘Brit &amp; Blair’ cheese! Literally half goat and half cow, this cheese is separated by a layer of grape leaf ash. This is a farmstead gouda style with a very easy to handle texture &amp; flavor. Beginner cheese for sure</x:v>
      </x:c>
      <x:c r="M60" s="22" t="str">
        <x:v>light ales, pepper jelly</x:v>
      </x:c>
      <x:c r="N60" s="22" t="str">
        <x:v>Gouda Spec Sheets.docx</x:v>
      </x:c>
      <x:c r="O60" s="22" t="str">
        <x:v>Gouda</x:v>
      </x:c>
      <x:c r="P60" s="22" t="str">
        <x:v>Missing in source: age_description</x:v>
      </x:c>
      <x:c r="Q60" s="21" t="str">
        <x:f>IF(P60="","Ready","Needs review")</x:f>
        <x:v>Needs review</x:v>
      </x:c>
      <x:c r="R60" s="22" t="str">
        <x:v>Ouddorp, Netherlands</x:v>
      </x:c>
      <x:c r="S60" s="21" t="str">
        <x:f>IF(COUNTIF($A$6:$A$120,A60)&gt;1,"Duplicate","Unique")</x:f>
        <x:v>Unique</x:v>
      </x:c>
    </x:row>
    <x:row r="61">
      <x:c r="A61" s="21" t="str">
        <x:v>finger-lakes-gold</x:v>
      </x:c>
      <x:c r="B61" s="21" t="str">
        <x:v>Finger Lakes Gold</x:v>
      </x:c>
      <x:c r="C61" s="21" t="str">
        <x:v>Lively Run Dairy</x:v>
      </x:c>
      <x:c r="D61" s="21" t="str">
        <x:v>Interlaken</x:v>
      </x:c>
      <x:c r="E61" s="21" t="str">
        <x:v>NY</x:v>
      </x:c>
      <x:c r="F61" s="21" t="str">
        <x:v>USA</x:v>
      </x:c>
      <x:c r="G61" s="21" t="str">
        <x:v>pasteurized Goat’s milk</x:v>
      </x:c>
      <x:c r="H61" s="21" t="str">
        <x:v>microbial</x:v>
      </x:c>
      <x:c r="I61" s="21" t="str">
        <x:v>gouda</x:v>
      </x:c>
      <x:c r="J61" s="21" t="str">
        <x:v>minimum 90 days</x:v>
      </x:c>
      <x:c r="K61" s="22" t="str">
        <x:v>Nutty, Mellow, Salty</x:v>
      </x:c>
      <x:c r="L61" s="22" t="str">
        <x:v>Lively Run Goat Dairy has been in operation since 1983, and in that time the cheesemaking has been passed down from Suzanne Messmer to her son Pete. Finger Lakes Gold is their award-winning gouda style cheese. It won 1st in its category at ACS in 2025</x:v>
      </x:c>
      <x:c r="M61" s="22" t="str">
        <x:v>malty ales, IPA’s, Belgian-style beers, lagers, bourbon, Merlot, Cabernet Franc, Chardonnay</x:v>
      </x:c>
      <x:c r="N61" s="22" t="str">
        <x:v>Gouda Spec Sheets.docx</x:v>
      </x:c>
      <x:c r="O61" s="22" t="str">
        <x:v>Gouda</x:v>
      </x:c>
      <x:c r="P61" s="22" t="str"/>
      <x:c r="Q61" s="21" t="str">
        <x:f>IF(P61="","Ready","Needs review")</x:f>
        <x:v>Ready</x:v>
      </x:c>
      <x:c r="R61" s="22" t="str">
        <x:v>Interlaken, NY</x:v>
      </x:c>
      <x:c r="S61" s="21" t="str">
        <x:f>IF(COUNTIF($A$6:$A$120,A61)&gt;1,"Duplicate","Unique")</x:f>
        <x:v>Unique</x:v>
      </x:c>
    </x:row>
    <x:row r="62">
      <x:c r="A62" s="21" t="str">
        <x:v>hootenanny</x:v>
      </x:c>
      <x:c r="B62" s="21" t="str">
        <x:v>Hootenanny</x:v>
      </x:c>
      <x:c r="C62" s="21" t="str">
        <x:v>Goat Rodeo Farm</x:v>
      </x:c>
      <x:c r="D62" s="21" t="str">
        <x:v>near Pittsburgh</x:v>
      </x:c>
      <x:c r="E62" s="21" t="str">
        <x:v>PA in northern Allegheny County</x:v>
      </x:c>
      <x:c r="F62" s="21" t="str">
        <x:v>USA</x:v>
      </x:c>
      <x:c r="G62" s="21" t="str">
        <x:v>pasteurized goat</x:v>
      </x:c>
      <x:c r="H62" s="21" t="str">
        <x:v>microbial, vegetarian</x:v>
      </x:c>
      <x:c r="I62" s="21" t="str">
        <x:v>gouda</x:v>
      </x:c>
      <x:c r="J62" s="21" t="str">
        <x:v>Not provided in source</x:v>
      </x:c>
      <x:c r="K62" s="22" t="str">
        <x:v>Almonds, Hickory, Floral</x:v>
      </x:c>
      <x:c r="L62" s="22" t="str">
        <x:v>a goat’s milk gouda style cheese made exclusively from spring and summer milk. Goat rodeo is a 100 acre farm with a mix of nubian and alpine goats</x:v>
      </x:c>
      <x:c r="M62" s="22" t="str">
        <x:v>sauvignon blanc, lambic beers, nutty ales, perfect for melting over veggies or snacking with crudite</x:v>
      </x:c>
      <x:c r="N62" s="22" t="str">
        <x:v>Gouda Spec Sheets.docx</x:v>
      </x:c>
      <x:c r="O62" s="22" t="str">
        <x:v>Gouda</x:v>
      </x:c>
      <x:c r="P62" s="22" t="str">
        <x:v>Missing in source: age_description</x:v>
      </x:c>
      <x:c r="Q62" s="21" t="str">
        <x:f>IF(P62="","Ready","Needs review")</x:f>
        <x:v>Needs review</x:v>
      </x:c>
      <x:c r="R62" s="22" t="str">
        <x:v>near Pittsburgh, PA in northern Allegheny County</x:v>
      </x:c>
      <x:c r="S62" s="21" t="str">
        <x:f>IF(COUNTIF($A$6:$A$120,A62)&gt;1,"Duplicate","Unique")</x:f>
        <x:v>Unique</x:v>
      </x:c>
    </x:row>
    <x:row r="63">
      <x:c r="A63" s="21" t="str">
        <x:v>jake-s-aged-gouda</x:v>
      </x:c>
      <x:c r="B63" s="21" t="str">
        <x:v>Jake’s Aged Gouda</x:v>
      </x:c>
      <x:c r="C63" s="21" t="str">
        <x:v>Jake’s Gouda Creamery</x:v>
      </x:c>
      <x:c r="D63" s="21" t="str">
        <x:v>Deansboro</x:v>
      </x:c>
      <x:c r="E63" s="21" t="str">
        <x:v>New York</x:v>
      </x:c>
      <x:c r="F63" s="21" t="str">
        <x:v>USA</x:v>
      </x:c>
      <x:c r="G63" s="21" t="str">
        <x:v>Raw Cow</x:v>
      </x:c>
      <x:c r="H63" s="21" t="str">
        <x:v>Animal</x:v>
      </x:c>
      <x:c r="I63" s="21" t="str">
        <x:v>Gouda</x:v>
      </x:c>
      <x:c r="J63" s="21" t="str">
        <x:v>6 months minimum</x:v>
      </x:c>
      <x:c r="K63" s="22" t="str">
        <x:v>Sweet and brothy, nutty, approachable, intermittent crystallization</x:v>
      </x:c>
      <x:c r="L63" s="22" t="str">
        <x:v>Still handmade in Upstate NY, Jake’s cheese has its roots in Holland. It’s turned daily on pine planks to ensure uniform age and perfection for at least sixty days and it’s covered with a cream coating instead of a wax seal. It’s also a raw milk cheese – no high temp pasteurization here. The results? One of New York’s finest traditional style Gouda cheeses.</x:v>
      </x:c>
      <x:c r="M63" s="22" t="str">
        <x:v>Fuller bodied reds, especially Argentinian Malbec, cherry juice, cola, dried fruit</x:v>
      </x:c>
      <x:c r="N63" s="22" t="str">
        <x:v>Gouda Spec Sheets.docx</x:v>
      </x:c>
      <x:c r="O63" s="22" t="str">
        <x:v>Gouda</x:v>
      </x:c>
      <x:c r="P63" s="22" t="str"/>
      <x:c r="Q63" s="21" t="str">
        <x:f>IF(P63="","Ready","Needs review")</x:f>
        <x:v>Ready</x:v>
      </x:c>
      <x:c r="R63" s="22" t="str">
        <x:v>Deansboro, New York</x:v>
      </x:c>
      <x:c r="S63" s="21" t="str">
        <x:f>IF(COUNTIF($A$6:$A$120,A63)&gt;1,"Duplicate","Unique")</x:f>
        <x:v>Unique</x:v>
      </x:c>
    </x:row>
    <x:row r="64">
      <x:c r="A64" s="21" t="str">
        <x:v>jake-s-baby-gouda</x:v>
      </x:c>
      <x:c r="B64" s="21" t="str">
        <x:v>Jake’s Baby Gouda</x:v>
      </x:c>
      <x:c r="C64" s="21" t="str">
        <x:v>Jake’s Gouda Creamery</x:v>
      </x:c>
      <x:c r="D64" s="21" t="str">
        <x:v>Deansboro</x:v>
      </x:c>
      <x:c r="E64" s="21" t="str">
        <x:v>New York</x:v>
      </x:c>
      <x:c r="F64" s="21" t="str">
        <x:v>USA</x:v>
      </x:c>
      <x:c r="G64" s="21" t="str">
        <x:v>Raw Cow</x:v>
      </x:c>
      <x:c r="H64" s="21" t="str">
        <x:v>Animal</x:v>
      </x:c>
      <x:c r="I64" s="21" t="str">
        <x:v>Gouda (washed curd)</x:v>
      </x:c>
      <x:c r="J64" s="21" t="str">
        <x:v>60 days minimum</x:v>
      </x:c>
      <x:c r="K64" s="22" t="str">
        <x:v>Sweet, nutty, pliable texture, agreeable</x:v>
      </x:c>
      <x:c r="L64" s="22" t="str">
        <x:v>Our Baby Gouda is softer and smoother than it’s aged counterpart. But,just because it’s delicate doesn’t mean it doesn’t have full grown Gouda Goodness. It’s still handmade in Upstate NY, and crafted in the traditional Dutch style. True Gouda needs to breathe and our baby get’s plenty of air. Turned daily on pine planks to ensure uniform age and perfection for at least sixty days, it’s also a raw milk cheese – no high temp pasteurization here. The results? One of New York’s finest traditional style Gouda cheese!</x:v>
      </x:c>
      <x:c r="M64" s="22" t="str">
        <x:v>Dry Riesling, black tea, cured meats, pickles, ginger ale, PBR</x:v>
      </x:c>
      <x:c r="N64" s="22" t="str">
        <x:v>Gouda Spec Sheets.docx</x:v>
      </x:c>
      <x:c r="O64" s="22" t="str">
        <x:v>Gouda</x:v>
      </x:c>
      <x:c r="P64" s="22" t="str"/>
      <x:c r="Q64" s="21" t="str">
        <x:f>IF(P64="","Ready","Needs review")</x:f>
        <x:v>Ready</x:v>
      </x:c>
      <x:c r="R64" s="22" t="str">
        <x:v>Deansboro, New York</x:v>
      </x:c>
      <x:c r="S64" s="21" t="str">
        <x:f>IF(COUNTIF($A$6:$A$120,A64)&gt;1,"Duplicate","Unique")</x:f>
        <x:v>Unique</x:v>
      </x:c>
    </x:row>
    <x:row r="65">
      <x:c r="A65" s="21" t="str">
        <x:v>jake-s-smoked-gouda</x:v>
      </x:c>
      <x:c r="B65" s="21" t="str">
        <x:v>Jake’s Smoked Gouda</x:v>
      </x:c>
      <x:c r="C65" s="21" t="str">
        <x:v>Jake’s Gouda Creamery</x:v>
      </x:c>
      <x:c r="D65" s="21" t="str">
        <x:v>Deansboro</x:v>
      </x:c>
      <x:c r="E65" s="21" t="str">
        <x:v>New York</x:v>
      </x:c>
      <x:c r="F65" s="21" t="str">
        <x:v>USA</x:v>
      </x:c>
      <x:c r="G65" s="21" t="str">
        <x:v>Raw Cow</x:v>
      </x:c>
      <x:c r="H65" s="21" t="str">
        <x:v>Animal</x:v>
      </x:c>
      <x:c r="I65" s="21" t="str">
        <x:v>Gouda (washed curd), Smoked</x:v>
      </x:c>
      <x:c r="J65" s="21" t="str">
        <x:v>60 day minimum</x:v>
      </x:c>
      <x:c r="K65" s="22" t="str">
        <x:v>Smokey, approachable, meltable</x:v>
      </x:c>
      <x:c r="L65" s="22" t="str">
        <x:v>Jake’s personal favorite: Smoked Gouda. This latest addition is flavored after it has aged at least 60 days. Not for the faint of heart, Jake’s Smoked Gouda has a smooth, smoked oak flavor. True Gouda needs to breathe so our cheese gets plenty of air. Turned daily on pine planks to ensure uniform age and perfection for at least sixty days, it’s also a raw milk cheese – no high temp pasteurization here. The results? One of New York’s finest traditional style Smoked Gouda cheeses!</x:v>
      </x:c>
      <x:c r="M65" s="22" t="str">
        <x:v>Ales, floral red wines, salami, melt on burgers, soda</x:v>
      </x:c>
      <x:c r="N65" s="22" t="str">
        <x:v>Gouda Spec Sheets.docx</x:v>
      </x:c>
      <x:c r="O65" s="22" t="str">
        <x:v>Gouda</x:v>
      </x:c>
      <x:c r="P65" s="22" t="str"/>
      <x:c r="Q65" s="21" t="str">
        <x:f>IF(P65="","Ready","Needs review")</x:f>
        <x:v>Ready</x:v>
      </x:c>
      <x:c r="R65" s="22" t="str">
        <x:v>Deansboro, New York</x:v>
      </x:c>
      <x:c r="S65" s="21" t="str">
        <x:f>IF(COUNTIF($A$6:$A$120,A65)&gt;1,"Duplicate","Unique")</x:f>
        <x:v>Unique</x:v>
      </x:c>
    </x:row>
    <x:row r="66">
      <x:c r="A66" s="21" t="str">
        <x:v>natty-gouda</x:v>
      </x:c>
      <x:c r="B66" s="21" t="str">
        <x:v>Natty Gouda</x:v>
      </x:c>
      <x:c r="C66" s="21" t="str">
        <x:v>Urban Stead Dairy</x:v>
      </x:c>
      <x:c r="D66" s="21" t="str">
        <x:v>Cincinnati</x:v>
      </x:c>
      <x:c r="E66" s="21" t="str">
        <x:v>Ohio</x:v>
      </x:c>
      <x:c r="F66" s="21" t="str">
        <x:v>USA</x:v>
      </x:c>
      <x:c r="G66" s="21" t="str">
        <x:v>Pasteurized Jersey Cow’s milk</x:v>
      </x:c>
      <x:c r="H66" s="21" t="str">
        <x:v>Animal</x:v>
      </x:c>
      <x:c r="I66" s="21" t="str">
        <x:v>Dutch style Gouda, natural rind</x:v>
      </x:c>
      <x:c r="J66" s="21" t="str">
        <x:v>18-24 months</x:v>
      </x:c>
      <x:c r="K66" s="22" t="str">
        <x:v>Firm and slightly crystalline with a rich, savory-sweet balance. Notes of salted caramel, butterscotch, and brown butter with a deep, lingering umami finish. Subtle grassy undertones come through from the natural rind.</x:v>
      </x:c>
      <x:c r="L66" s="22" t="str">
        <x:v>Made by Urban Stead Dairy in Cincinnati using milk from a third-generation Ohio Valley farm. This is a Dutch-style Gouda aged well past a year, allowing those classic caramelized flavors and protein crystals to develop. The natural rind helps preserve a more rustic, grassy character compared to waxed Goudas. It’s also a super decorated cheese, consistently placing in major competitions like ACS and World Cheese Awards.</x:v>
      </x:c>
      <x:c r="M66" s="22" t="str">
        <x:v>Apple butter, Pear, Candied pecans, Peanut brittle, Dark chocolate, Butter crackers, Whole grain mustard, Riesling, Pinot Noir, Amber ale, Stout, Cider</x:v>
      </x:c>
      <x:c r="N66" s="22" t="str">
        <x:v>Gouda Spec Sheets.docx</x:v>
      </x:c>
      <x:c r="O66" s="22" t="str">
        <x:v>Gouda</x:v>
      </x:c>
      <x:c r="P66" s="22" t="str"/>
      <x:c r="Q66" s="21" t="str">
        <x:f>IF(P66="","Ready","Needs review")</x:f>
        <x:v>Ready</x:v>
      </x:c>
      <x:c r="R66" s="22" t="str">
        <x:v>Cincinnati, Ohio</x:v>
      </x:c>
      <x:c r="S66" s="21" t="str">
        <x:f>IF(COUNTIF($A$6:$A$120,A66)&gt;1,"Duplicate","Unique")</x:f>
        <x:v>Unique</x:v>
      </x:c>
    </x:row>
    <x:row r="67">
      <x:c r="A67" s="21" t="str">
        <x:v>old-farmdal</x:v>
      </x:c>
      <x:c r="B67" s="21" t="str">
        <x:v>Old Farmdal</x:v>
      </x:c>
      <x:c r="C67" s="21" t="str">
        <x:v>Deweer Family at Kaasboerderij’T Groendal</x:v>
      </x:c>
      <x:c r="D67" s="21" t="str">
        <x:v>Not provided by creamery</x:v>
      </x:c>
      <x:c r="E67" s="21" t="str">
        <x:v>West Flanders</x:v>
      </x:c>
      <x:c r="F67" s="21" t="str">
        <x:v>Belgium</x:v>
      </x:c>
      <x:c r="G67" s="21" t="str">
        <x:v>Pasteurized cow milk</x:v>
      </x:c>
      <x:c r="H67" s="21" t="str">
        <x:v>vegetarian Rennet</x:v>
      </x:c>
      <x:c r="I67" s="21" t="str">
        <x:v>Gouda</x:v>
      </x:c>
      <x:c r="J67" s="21" t="str">
        <x:v>9 months</x:v>
      </x:c>
      <x:c r="K67" s="22" t="str">
        <x:v>Dense and slightly fudgy with pronounced tyrosine crystals throughout. Sweet and savory with notes of caramel, stone fruit, and a subtle “boozy” cherry quality. Finishes with a light acidity reminiscent of dark chocolate.</x:v>
      </x:c>
      <x:c r="L67" s="22" t="str">
        <x:v>Old Farmdal was created by the Deweer family as a younger counterpart to their well-known OG Kristal Gouda. Using the same milk and core process, they adjusted the cultures to develop a similar depth of flavor in less time. It’s aged about half as long but still delivers those crunchy crystals and layered sweetness, making it a great “in-between” Gouda.</x:v>
      </x:c>
      <x:c r="M67" s="22" t="str">
        <x:v>Dried cherries, prosciutto, amber ale, chocolate covered espresso beans</x:v>
      </x:c>
      <x:c r="N67" s="22" t="str">
        <x:v>Gouda Spec Sheets.docx</x:v>
      </x:c>
      <x:c r="O67" s="22" t="str">
        <x:v>Gouda</x:v>
      </x:c>
      <x:c r="P67" s="22" t="str"/>
      <x:c r="Q67" s="21" t="str">
        <x:f>IF(P67="","Ready","Needs review")</x:f>
        <x:v>Ready</x:v>
      </x:c>
      <x:c r="R67" s="22" t="str">
        <x:v>West Flanders, Belgium</x:v>
      </x:c>
      <x:c r="S67" s="21" t="str">
        <x:f>IF(COUNTIF($A$6:$A$120,A67)&gt;1,"Duplicate","Unique")</x:f>
        <x:v>Unique</x:v>
      </x:c>
    </x:row>
    <x:row r="68">
      <x:c r="A68" s="21" t="str">
        <x:v>stompetoren-grand-cru</x:v>
      </x:c>
      <x:c r="B68" s="21" t="str">
        <x:v>Stompetoren Grand Cru</x:v>
      </x:c>
      <x:c r="C68" s="21" t="str">
        <x:v>CONO</x:v>
      </x:c>
      <x:c r="D68" s="21" t="str">
        <x:v>Not provided by creamery</x:v>
      </x:c>
      <x:c r="E68" s="21" t="str">
        <x:v>North Holland</x:v>
      </x:c>
      <x:c r="F68" s="21" t="str">
        <x:v>Netherlands</x:v>
      </x:c>
      <x:c r="G68" s="21" t="str">
        <x:v>Pasteurized Cow</x:v>
      </x:c>
      <x:c r="H68" s="21" t="str">
        <x:v>Animal</x:v>
      </x:c>
      <x:c r="I68" s="21" t="str">
        <x:v>Gouda</x:v>
      </x:c>
      <x:c r="J68" s="21" t="str">
        <x:v>18 months minimum</x:v>
      </x:c>
      <x:c r="K68" s="22" t="str">
        <x:v>Complex, nutty, toffee, brothy, crystalline</x:v>
      </x:c>
      <x:c r="L68" s="22" t="str">
        <x:v>Stompetoren cheese is made from meadow milk. Our cows graze and rest in the meadow. As a result, they are 'more comfortable in their own skin' and healthier. Eating fresh grass also ensures a richer, tastier milk. Last year, the cows walked outside for at least 10 hours a day on average 185 days a year. We are happy to reward our farmers with a special premium for this. Stompetoren cheese is made in the CONO cheese factory in North Holland. This cheese factory is regarded as the best &amp; greenest cheese factory in the Netherlands. Our cheese makers still stir the curd by hand and we use the most modern, sustainable techniques to produce as energy-efficiently as possible.</x:v>
      </x:c>
      <x:c r="M68" s="22" t="str">
        <x:v>Port, coffee, malbec, Dutch Ale, drinking chocolate, cherries</x:v>
      </x:c>
      <x:c r="N68" s="22" t="str">
        <x:v>Gouda Spec Sheets.docx</x:v>
      </x:c>
      <x:c r="O68" s="22" t="str">
        <x:v>Gouda</x:v>
      </x:c>
      <x:c r="P68" s="22" t="str"/>
      <x:c r="Q68" s="21" t="str">
        <x:f>IF(P68="","Ready","Needs review")</x:f>
        <x:v>Ready</x:v>
      </x:c>
      <x:c r="R68" s="22" t="str">
        <x:v>North Holland</x:v>
      </x:c>
      <x:c r="S68" s="21" t="str">
        <x:f>IF(COUNTIF($A$6:$A$120,A68)&gt;1,"Duplicate","Unique")</x:f>
        <x:v>Unique</x:v>
      </x:c>
    </x:row>
    <x:row r="69">
      <x:c r="A69" s="21" t="str">
        <x:v>feta-voras</x:v>
      </x:c>
      <x:c r="B69" s="21" t="str">
        <x:v>Feta Voras</x:v>
      </x:c>
      <x:c r="C69" s="21" t="str">
        <x:v>Brothers Sokratis and Andreas, exclusively imported by Essex</x:v>
      </x:c>
      <x:c r="D69" s="21" t="str">
        <x:v>Not provided by creamery</x:v>
      </x:c>
      <x:c r="E69" s="21" t="str">
        <x:v>Northwestern</x:v>
      </x:c>
      <x:c r="F69" s="21" t="str">
        <x:v>Greece</x:v>
      </x:c>
      <x:c r="G69" s="21" t="str">
        <x:v>Primarily Florina Sheep plus a little goat’s milk</x:v>
      </x:c>
      <x:c r="H69" s="21" t="str">
        <x:v>Animal</x:v>
      </x:c>
      <x:c r="I69" s="21" t="str">
        <x:v>Brined</x:v>
      </x:c>
      <x:c r="J69" s="21" t="str">
        <x:v>3 months</x:v>
      </x:c>
      <x:c r="K69" s="22" t="str">
        <x:v>Salty, crumbly, oceanic</x:v>
      </x:c>
      <x:c r="L69" s="22" t="str">
        <x:v>Feta Voras is produced in the Florina province, located in the far northwestern corner of Greece, near Mount Voras, one of the highest peaks in the region. This area is characterized by its mountainous terrain, wildflowers, and herbs, providing an ideal grazing ground for sheep. The cheese is made by brothers Sokratis and Andreas, who are third-generation cheesemakers, using primarily Florina breed sheep's milk with a small percentage of goat's milk, adhering to traditional methods that have been passed down through generations. Florina is one of the seven regions that can make traditional PDO feta. It’s made in small blocks, sprinkled with sea salt from the port of Patras, aged for about three months, then sliced into wedges and packed up for shipment to New York.</x:v>
      </x:c>
      <x:c r="M69" s="22" t="str">
        <x:v>Used for topping dishes, eaten as-is, stuffed in olives, great with Assyrtiko, cheap beer, fizzy water, watermelon</x:v>
      </x:c>
      <x:c r="N69" s="22" t="str">
        <x:v>Fresh Cheese Spec Sheets.docx</x:v>
      </x:c>
      <x:c r="O69" s="22" t="str">
        <x:v>Fresh Cheese</x:v>
      </x:c>
      <x:c r="P69" s="22" t="str"/>
      <x:c r="Q69" s="21" t="str">
        <x:f>IF(P69="","Ready","Needs review")</x:f>
        <x:v>Ready</x:v>
      </x:c>
      <x:c r="R69" s="22" t="str">
        <x:v>Northwestern Greece</x:v>
      </x:c>
      <x:c r="S69" s="21" t="str">
        <x:f>IF(COUNTIF($A$6:$A$120,A69)&gt;1,"Duplicate","Unique")</x:f>
        <x:v>Unique</x:v>
      </x:c>
    </x:row>
    <x:row r="70">
      <x:c r="A70" s="21" t="str">
        <x:v>lesbos-feta</x:v>
      </x:c>
      <x:c r="B70" s="21" t="str">
        <x:v>Lesbos Feta</x:v>
      </x:c>
      <x:c r="C70" s="21" t="str">
        <x:v>Cheesemaker Pangiotis Tastanis Dairy M&amp;D Tastanis, est. 1980, imported by Essex St. Cheese</x:v>
      </x:c>
      <x:c r="D70" s="21" t="str">
        <x:v>Agra</x:v>
      </x:c>
      <x:c r="E70" s="21" t="str">
        <x:v>Lesbos</x:v>
      </x:c>
      <x:c r="F70" s="21" t="str">
        <x:v>Greece</x:v>
      </x:c>
      <x:c r="G70" s="21" t="str">
        <x:v>Pasteurized Lesbian Sheep</x:v>
      </x:c>
      <x:c r="H70" s="21" t="str">
        <x:v>Animal</x:v>
      </x:c>
      <x:c r="I70" s="21" t="str">
        <x:v>Brined</x:v>
      </x:c>
      <x:c r="J70" s="21" t="str">
        <x:v>4-18 months</x:v>
      </x:c>
      <x:c r="K70" s="22" t="str">
        <x:v>custard, milk, sea salt</x:v>
      </x:c>
      <x:c r="L70" s="22" t="str">
        <x:v>Feta is an ancient cheese. In Homer's Odyssey, Ulysses found feta in the cave of Polyphemos the Cyclops. Feta is also a much maligned cheese, copied everywhere, made with more care for the bottom line than for flavor. Until recently anyone could call their cheese feta and the country that made the most feta in the world was Germany. Now there are only a few locations that can make the real thing and the island of Lesbos is one of them. Essex feta is made exclusively from the milk of Lesbian breed sheep. The shepherds graze them on the sun-and-sea splashed hills around the village of Agra, on the western side of the island, a tradition that’s been practiced for millenia.</x:v>
      </x:c>
      <x:c r="M70" s="22" t="str">
        <x:v>Used for topping dishes, eaten as-is, stuffed in olives, great with Assyrtiko, cheap beer, fizzy water, watermelon</x:v>
      </x:c>
      <x:c r="N70" s="22" t="str">
        <x:v>Fresh Cheese Spec Sheets.docx</x:v>
      </x:c>
      <x:c r="O70" s="22" t="str">
        <x:v>Fresh Cheese</x:v>
      </x:c>
      <x:c r="P70" s="22" t="str"/>
      <x:c r="Q70" s="21" t="str">
        <x:f>IF(P70="","Ready","Needs review")</x:f>
        <x:v>Ready</x:v>
      </x:c>
      <x:c r="R70" s="22" t="str">
        <x:v>Agra, Lesbos, Greece</x:v>
      </x:c>
      <x:c r="S70" s="21" t="str">
        <x:f>IF(COUNTIF($A$6:$A$120,A70)&gt;1,"Duplicate","Unique")</x:f>
        <x:v>Unique</x:v>
      </x:c>
    </x:row>
    <x:row r="71">
      <x:c r="A71" s="21" t="str">
        <x:v>meredith-dairy-goat-and-sheep</x:v>
      </x:c>
      <x:c r="B71" s="21" t="str">
        <x:v>Meredith Dairy Goat and Sheep</x:v>
      </x:c>
      <x:c r="C71" s="21" t="str">
        <x:v>Meredith Dairy</x:v>
      </x:c>
      <x:c r="D71" s="21" t="str">
        <x:v>Not provided by creamery</x:v>
      </x:c>
      <x:c r="E71" s="21" t="str">
        <x:v>Victoria</x:v>
      </x:c>
      <x:c r="F71" s="21" t="str">
        <x:v>Australia</x:v>
      </x:c>
      <x:c r="G71" s="21" t="str">
        <x:v>Pasteurized sheep and goat</x:v>
      </x:c>
      <x:c r="H71" s="21" t="str">
        <x:v>Vegetarian</x:v>
      </x:c>
      <x:c r="I71" s="21" t="str">
        <x:v>Persian feta-style</x:v>
      </x:c>
      <x:c r="J71" s="21" t="str">
        <x:v>Not provided in source</x:v>
      </x:c>
      <x:c r="K71" s="22" t="str">
        <x:v>Salty, savory, silky smooth, rich, friendly</x:v>
      </x:c>
      <x:c r="L71" s="22" t="str">
        <x:v>In 1991, traditional farming was in turmoil and the price of wool and farming commodities became uncertain. To survive on the land we needed to be innovative and add value to our farm produce. We love food, so we decided to milk sheep, then goats, to make cheese and yoghurts. Meredith Dairy was born. Made with Australian EVOO, garlic, thyme, black peppercorns</x:v>
      </x:c>
      <x:c r="M71" s="22" t="str">
        <x:v>Pairs well with lots of different wines, bourbon, great for salads, stuffing olives, and absolutely stars on a cheese and charcuterie board. Oil can be used in recipes after the cheese is gone.</x:v>
      </x:c>
      <x:c r="N71" s="22" t="str">
        <x:v>Fresh Cheese Spec Sheets.docx</x:v>
      </x:c>
      <x:c r="O71" s="22" t="str">
        <x:v>Fresh Cheese</x:v>
      </x:c>
      <x:c r="P71" s="22" t="str">
        <x:v>Missing in source: age_description</x:v>
      </x:c>
      <x:c r="Q71" s="21" t="str">
        <x:f>IF(P71="","Ready","Needs review")</x:f>
        <x:v>Needs review</x:v>
      </x:c>
      <x:c r="R71" s="22" t="str">
        <x:v>Victoria, Australia</x:v>
      </x:c>
      <x:c r="S71" s="21" t="str">
        <x:f>IF(COUNTIF($A$6:$A$120,A71)&gt;1,"Duplicate","Unique")</x:f>
        <x:v>Unique</x:v>
      </x:c>
    </x:row>
    <x:row r="72">
      <x:c r="A72" s="21" t="str">
        <x:v>o-banon</x:v>
      </x:c>
      <x:c r="B72" s="21" t="str">
        <x:v>O’Banon</x:v>
      </x:c>
      <x:c r="C72" s="21" t="str">
        <x:v>Capriole Creamery</x:v>
      </x:c>
      <x:c r="D72" s="21" t="str">
        <x:v>Greenville</x:v>
      </x:c>
      <x:c r="E72" s="21" t="str">
        <x:v>Indiana</x:v>
      </x:c>
      <x:c r="F72" s="21" t="str">
        <x:v>USA</x:v>
      </x:c>
      <x:c r="G72" s="21" t="str">
        <x:v>Pasteurized Goat</x:v>
      </x:c>
      <x:c r="H72" s="21" t="str">
        <x:v>Animal Rennet</x:v>
      </x:c>
      <x:c r="I72" s="21" t="str">
        <x:v>Fresh, Wrapped in chestnut leaves macerated in Bourbon</x:v>
      </x:c>
      <x:c r="J72" s="21" t="str">
        <x:v>Wrapped and shipped practically immediately. Shelf life until 180 days after time of wrapping</x:v>
      </x:c>
      <x:c r="K72" s="22" t="str">
        <x:v>Clean, bright, vanilla-spice, boozy</x:v>
      </x:c>
      <x:c r="L72" s="22" t="str">
        <x:v>Wrapped up like a gift in bourbon-soaked chestnut leaves, O’Banon is all the excuse needed for a celebration. This fresh goat cheese round initially has a bright, tart-fruit flavor balanced by an underlying sweetness and mild tannic note. The paste is dense but softly cloudlike, a testament to Capriole’s hand-ladling process.</x:v>
      </x:c>
      <x:c r="M72" s="22" t="str">
        <x:v>Bourbon! Chai tea, luxardo cherries, old fashioned, Drambuie</x:v>
      </x:c>
      <x:c r="N72" s="22" t="str">
        <x:v>Fresh Cheese Spec Sheets.docx</x:v>
      </x:c>
      <x:c r="O72" s="22" t="str">
        <x:v>Fresh Cheese</x:v>
      </x:c>
      <x:c r="P72" s="22" t="str"/>
      <x:c r="Q72" s="21" t="str">
        <x:f>IF(P72="","Ready","Needs review")</x:f>
        <x:v>Ready</x:v>
      </x:c>
      <x:c r="R72" s="22" t="str">
        <x:v>Greenville, Indiana</x:v>
      </x:c>
      <x:c r="S72" s="21" t="str">
        <x:f>IF(COUNTIF($A$6:$A$120,A72)&gt;1,"Duplicate","Unique")</x:f>
        <x:v>Unique</x:v>
      </x:c>
    </x:row>
    <x:row r="73">
      <x:c r="A73" s="21" t="str">
        <x:v>sach-paneer</x:v>
      </x:c>
      <x:c r="B73" s="21" t="str">
        <x:v>Sach Paneer</x:v>
      </x:c>
      <x:c r="C73" s="21" t="str">
        <x:v>Sach Foods</x:v>
      </x:c>
      <x:c r="D73" s="21" t="str">
        <x:v>San Francisco</x:v>
      </x:c>
      <x:c r="E73" s="21" t="str">
        <x:v>California</x:v>
      </x:c>
      <x:c r="F73" s="21" t="str">
        <x:v>USA</x:v>
      </x:c>
      <x:c r="G73" s="21" t="str">
        <x:v>Pasteurized, organic cow’s milk</x:v>
      </x:c>
      <x:c r="H73" s="21" t="str">
        <x:v>NA</x:v>
      </x:c>
      <x:c r="I73" s="21" t="str">
        <x:v>Fresh, acid-coagulated</x:v>
      </x:c>
      <x:c r="J73" s="21" t="str">
        <x:v>NA</x:v>
      </x:c>
      <x:c r="K73" s="22" t="str">
        <x:v>Neutral, heatable, versatile</x:v>
      </x:c>
      <x:c r="L73" s="22" t="str">
        <x:v>Rooted in Indian cuisine, paneer is a time-tested, nutrient rich food that’s also a high-protein favorite for millions around the world. It’s a fresh cheese that doesn’t melt. Paneer is rich in healthy fats that keep you full longer. Sach’s Original paneer is keto-friendly, gluten-free, and made with sustainably sourced organic milk that come from small humane certified farms. It is soft, crumbly, and melts in your mouth. With a very neutral taste, our original paneer is created for consumers, including kids, to just snack on. In addition to snacking, we also love using our paneer to cook traditional Indian dishes like Saag Paneer or simply sautéing it with some veggies. Our paneer sears fairly quickly and makes for a quick and delicious weeknight meal. It's also great on the air fryer. **Paneer, like Halloumi, have an ability to stay intact when heated. This melting property (or lack thereof) is attributed to the pH in the milk. For further inquiries regarding the science, please defer to Sarah.</x:v>
      </x:c>
      <x:c r="M73" s="22" t="str">
        <x:v>Used for cooking. Can be treated like fish and basted and baked with lemon and dill, fried, slathered in chimichurri and roasted, sauteed, etc.</x:v>
      </x:c>
      <x:c r="N73" s="22" t="str">
        <x:v>Fresh Cheese Spec Sheets.docx</x:v>
      </x:c>
      <x:c r="O73" s="22" t="str">
        <x:v>Fresh Cheese</x:v>
      </x:c>
      <x:c r="P73" s="22" t="str"/>
      <x:c r="Q73" s="21" t="str">
        <x:f>IF(P73="","Ready","Needs review")</x:f>
        <x:v>Ready</x:v>
      </x:c>
      <x:c r="R73" s="22" t="str">
        <x:v>San Francisco, California</x:v>
      </x:c>
      <x:c r="S73" s="21" t="str">
        <x:f>IF(COUNTIF($A$6:$A$120,A73)&gt;1,"Duplicate","Unique")</x:f>
        <x:v>Unique</x:v>
      </x:c>
    </x:row>
    <x:row r="74">
      <x:c r="A74" s="21" t="str">
        <x:v>saltbush-chevre</x:v>
      </x:c>
      <x:c r="B74" s="21" t="str">
        <x:v>Saltbush Chevre</x:v>
      </x:c>
      <x:c r="C74" s="21" t="str">
        <x:v>Woodside Cheese Wrights</x:v>
      </x:c>
      <x:c r="D74" s="21" t="str">
        <x:v>Not provided by creamery</x:v>
      </x:c>
      <x:c r="E74" s="21" t="str">
        <x:v>Adelaide Hills</x:v>
      </x:c>
      <x:c r="F74" s="21" t="str">
        <x:v>Australia</x:v>
      </x:c>
      <x:c r="G74" s="21" t="str">
        <x:v>Pasteurized Goat</x:v>
      </x:c>
      <x:c r="H74" s="21" t="str">
        <x:v>NA</x:v>
      </x:c>
      <x:c r="I74" s="21" t="str">
        <x:v>Acid-coagulated, fresh, rolled in saltbush</x:v>
      </x:c>
      <x:c r="J74" s="21" t="str">
        <x:v>NA</x:v>
      </x:c>
      <x:c r="K74" s="22" t="str">
        <x:v>Clean, tangy, lactic, herbaceous</x:v>
      </x:c>
      <x:c r="L74" s="22" t="str">
        <x:v>Saltbush Goat Chèvre is a stunning fusion of fresh, creamy goat cheese and the unique, herbaceous flavours of native Australian saltbush. This tangy, lightly rolled chèvre is salty and aromatic, making it a perfect addition to your next cheese board. Handmade in the Adelaide Hills using locally sourced goat milk, our goat chèvre is crafted with care and attention to detail. We source our milk from small, family-owned farms, ensuring we maintain complete control over the quality and seasonality of the product. Our herds, including Saanens, British Alpine, and Toggenburg goats, contribute to the rich, smooth texture of the cheese.</x:v>
      </x:c>
      <x:c r="M74" s="22" t="str">
        <x:v>An herbaceous white wine, Riesling from Adelaide Hills, herbal tea, herbaceous salami, stuffed in olives, stuffed in dates, fresh berries and juice ripe cherries</x:v>
      </x:c>
      <x:c r="N74" s="22" t="str">
        <x:v>Fresh Cheese Spec Sheets.docx</x:v>
      </x:c>
      <x:c r="O74" s="22" t="str">
        <x:v>Fresh Cheese</x:v>
      </x:c>
      <x:c r="P74" s="22" t="str"/>
      <x:c r="Q74" s="21" t="str">
        <x:f>IF(P74="","Ready","Needs review")</x:f>
        <x:v>Ready</x:v>
      </x:c>
      <x:c r="R74" s="22" t="str">
        <x:v>Adelaide Hills, Australia</x:v>
      </x:c>
      <x:c r="S74" s="21" t="str">
        <x:f>IF(COUNTIF($A$6:$A$120,A74)&gt;1,"Duplicate","Unique")</x:f>
        <x:v>Unique</x:v>
      </x:c>
    </x:row>
    <x:row r="75">
      <x:c r="A75" s="21" t="str">
        <x:v>wooly-wooly</x:v>
      </x:c>
      <x:c r="B75" s="21" t="str">
        <x:v>Wooly Wooly</x:v>
      </x:c>
      <x:c r="C75" s="21" t="str">
        <x:v>Wooly Wooly</x:v>
      </x:c>
      <x:c r="D75" s="21" t="str">
        <x:v>Jumilla</x:v>
      </x:c>
      <x:c r="E75" s="21" t="str">
        <x:v>Murcia</x:v>
      </x:c>
      <x:c r="F75" s="21" t="str">
        <x:v>Spain</x:v>
      </x:c>
      <x:c r="G75" s="21" t="str">
        <x:v>Pasteurized Lacaune Sheep</x:v>
      </x:c>
      <x:c r="H75" s="21" t="str">
        <x:v>Not provided in source</x:v>
      </x:c>
      <x:c r="I75" s="21" t="str">
        <x:v>Fresh, acid-coagulated</x:v>
      </x:c>
      <x:c r="J75" s="21" t="str">
        <x:v>10 days</x:v>
      </x:c>
      <x:c r="K75" s="22" t="str">
        <x:v>Simple, sweet, tangy</x:v>
      </x:c>
      <x:c r="L75" s="22" t="str">
        <x:v>Imported by Forever Cheese. A little about the importer: For over 25 years, we have been committed to setting the highest standard in our industry when it comes to product quality and taking care of our producers, customers, and employees. Each product we import has a unique story, and our goal is to celebrate and share the stories behind them. From Drunken Goat® to Genuine Fulvi® Pecorino Romano, mostarda to Mitica® Marcona Almonds, ‘nduja to jamón ibérico, we are proud to offer a wide variety of products we love from people we believe in.</x:v>
      </x:c>
      <x:c r="M75" s="22" t="str">
        <x:v>Lemon curd, crumble on salads, stuff olives, jams and jellies, whiskey, acidic white wines, lemonade</x:v>
      </x:c>
      <x:c r="N75" s="22" t="str">
        <x:v>Fresh Cheese Spec Sheets.docx</x:v>
      </x:c>
      <x:c r="O75" s="22" t="str">
        <x:v>Fresh Cheese</x:v>
      </x:c>
      <x:c r="P75" s="22" t="str">
        <x:v>Missing in source: rennet</x:v>
      </x:c>
      <x:c r="Q75" s="21" t="str">
        <x:f>IF(P75="","Ready","Needs review")</x:f>
        <x:v>Needs review</x:v>
      </x:c>
      <x:c r="R75" s="22" t="str">
        <x:v>Jumilla, Murcia, Spain</x:v>
      </x:c>
      <x:c r="S75" s="21" t="str">
        <x:f>IF(COUNTIF($A$6:$A$120,A75)&gt;1,"Duplicate","Unique")</x:f>
        <x:v>Unique</x:v>
      </x:c>
    </x:row>
    <x:row r="76">
      <x:c r="A76" s="21" t="str">
        <x:v>cabot-clothbound-cheddar</x:v>
      </x:c>
      <x:c r="B76" s="21" t="str">
        <x:v>Cabot Clothbound Cheddar</x:v>
      </x:c>
      <x:c r="C76" s="21" t="str">
        <x:v>Cabot Creamery/Aged at Jasper Hill</x:v>
      </x:c>
      <x:c r="D76" s="21" t="str">
        <x:v>Greensboro</x:v>
      </x:c>
      <x:c r="E76" s="21" t="str">
        <x:v>Vermont</x:v>
      </x:c>
      <x:c r="F76" s="21" t="str">
        <x:v>USA</x:v>
      </x:c>
      <x:c r="G76" s="21" t="str">
        <x:v>Pasteurized Cow</x:v>
      </x:c>
      <x:c r="H76" s="21" t="str">
        <x:v>Animal Rennet</x:v>
      </x:c>
      <x:c r="I76" s="21" t="str">
        <x:v>Clothbound Cheddar</x:v>
      </x:c>
      <x:c r="J76" s="21" t="str">
        <x:v>9-14 months</x:v>
      </x:c>
      <x:c r="K76" s="22" t="str">
        <x:v>Complex, earthy, grassy, mustard greens, bovine, crumbly</x:v>
      </x:c>
      <x:c r="L76" s="22" t="str">
        <x:v>Cabot Clothbound is an approachable but complex natural-rind, bandaged cheddar with a crumbly texture and nutty aroma. The flavor is deeply savory and slightly tangy with caramel sweetness to the finish. In 2003, Cabot Creamery asked us to age a special batch of cheddar, sparking a revolutionary collaboration. After more than a decade the cheese has developed into the cornerstone of our collection. After it comes to the Cellars, we coat the young cheese in lard and add an additional layer of cloth. The cheeses ripen in a specially calibrated vault in our Cellars, where they are constantly brushed, turned, and monitored for quality.</x:v>
      </x:c>
      <x:c r="M76" s="22" t="str">
        <x:v>California Cabernet Sauvignon, Brown Ale, Riesling, Southern Rhone Grenache, chicory, mocha latte, cured meats, olives, pickles, and other fermented foodstuffs</x:v>
      </x:c>
      <x:c r="N76" s="22" t="str">
        <x:v>Cheddar Spec Sheets.docx</x:v>
      </x:c>
      <x:c r="O76" s="22" t="str">
        <x:v>Cheddar</x:v>
      </x:c>
      <x:c r="P76" s="22" t="str"/>
      <x:c r="Q76" s="21" t="str">
        <x:f>IF(P76="","Ready","Needs review")</x:f>
        <x:v>Ready</x:v>
      </x:c>
      <x:c r="R76" s="22" t="str">
        <x:v>Greensboro, Vermont</x:v>
      </x:c>
      <x:c r="S76" s="21" t="str">
        <x:f>IF(COUNTIF($A$6:$A$120,A76)&gt;1,"Duplicate","Unique")</x:f>
        <x:v>Unique</x:v>
      </x:c>
    </x:row>
    <x:row r="77">
      <x:c r="A77" s="21" t="str">
        <x:v>jake-s-3-year-cheddar</x:v>
      </x:c>
      <x:c r="B77" s="21" t="str">
        <x:v>Jake’s 3 Year Cheddar</x:v>
      </x:c>
      <x:c r="C77" s="21" t="str">
        <x:v>Jake’s Gouda Creamery</x:v>
      </x:c>
      <x:c r="D77" s="21" t="str">
        <x:v>Deansboro</x:v>
      </x:c>
      <x:c r="E77" s="21" t="str">
        <x:v>New York</x:v>
      </x:c>
      <x:c r="F77" s="21" t="str">
        <x:v>USA</x:v>
      </x:c>
      <x:c r="G77" s="21" t="str">
        <x:v>Raw Cow</x:v>
      </x:c>
      <x:c r="H77" s="21" t="str">
        <x:v>Animal</x:v>
      </x:c>
      <x:c r="I77" s="21" t="str">
        <x:v>Cheddar</x:v>
      </x:c>
      <x:c r="J77" s="21" t="str">
        <x:v>3 Years</x:v>
      </x:c>
      <x:c r="K77" s="22" t="str">
        <x:v>Sharpish, grassy, sulfuric, meltable</x:v>
      </x:c>
      <x:c r="L77" s="22" t="str">
        <x:v>When Jake and Sylvia began looking searching for their perfect 200-acre farm, their final decision landed them in Deansboro, New York. Deansboro remains a wonderful location for a dairy farm with easy access to feed mills and cattle dealers. The move from Pennsylvania to Upstate New York brought a change of climate. Cooler summers for the cows and perfect conditions for dairy production. Having purchased two farms with intentions of passing them down to their sons, they now have a self-sufficient farm to source their own milk production. Eventually, Jake would like to hand the dairy farm over to his sons, allowing more time for he and Sylvia to pursue their passion for cheesemaking, and the rewarding joy that comes with it.</x:v>
      </x:c>
      <x:c r="M77" s="22" t="str">
        <x:v>Kolsh, Bitter ale, Root beer, pickles, crackers, melt in recipes</x:v>
      </x:c>
      <x:c r="N77" s="22" t="str">
        <x:v>Cheddar Spec Sheets.docx</x:v>
      </x:c>
      <x:c r="O77" s="22" t="str">
        <x:v>Cheddar</x:v>
      </x:c>
      <x:c r="P77" s="22" t="str"/>
      <x:c r="Q77" s="21" t="str">
        <x:f>IF(P77="","Ready","Needs review")</x:f>
        <x:v>Ready</x:v>
      </x:c>
      <x:c r="R77" s="22" t="str">
        <x:v>Deansboro, New York</x:v>
      </x:c>
      <x:c r="S77" s="21" t="str">
        <x:f>IF(COUNTIF($A$6:$A$120,A77)&gt;1,"Duplicate","Unique")</x:f>
        <x:v>Unique</x:v>
      </x:c>
    </x:row>
    <x:row r="78">
      <x:c r="A78" s="21" t="str">
        <x:v>peak-s-cheddar</x:v>
      </x:c>
      <x:c r="B78" s="21" t="str">
        <x:v>Peak’s Cheddar</x:v>
      </x:c>
      <x:c r="C78" s="21" t="str">
        <x:v>Hudson Valley Creamery</x:v>
      </x:c>
      <x:c r="D78" s="21" t="str">
        <x:v>Menands</x:v>
      </x:c>
      <x:c r="E78" s="21" t="str">
        <x:v>New York</x:v>
      </x:c>
      <x:c r="F78" s="21" t="str">
        <x:v>USA</x:v>
      </x:c>
      <x:c r="G78" s="21" t="str">
        <x:v>Pasteurized Cow</x:v>
      </x:c>
      <x:c r="H78" s="21" t="str">
        <x:v>Not provided in source</x:v>
      </x:c>
      <x:c r="I78" s="21" t="str">
        <x:v>Cheddar</x:v>
      </x:c>
      <x:c r="J78" s="21" t="str">
        <x:v>15 Years</x:v>
      </x:c>
      <x:c r="K78" s="22" t="str">
        <x:v>Sharp, acidic, tangy</x:v>
      </x:c>
      <x:c r="L78" s="22" t="str">
        <x:v>Not provided in source</x:v>
      </x:c>
      <x:c r="M78" s="22" t="str">
        <x:v>Bold reds, like Australian Shiraz, California Cab, Washington Merlot and Syrah, Dr. Pepper, plowman’s board fare, and melt in recipes</x:v>
      </x:c>
      <x:c r="N78" s="22" t="str">
        <x:v>Cheddar Spec Sheets.docx</x:v>
      </x:c>
      <x:c r="O78" s="22" t="str">
        <x:v>Cheddar</x:v>
      </x:c>
      <x:c r="P78" s="22" t="str">
        <x:v>Missing in source: rennet, story_notes</x:v>
      </x:c>
      <x:c r="Q78" s="21" t="str">
        <x:f>IF(P78="","Ready","Needs review")</x:f>
        <x:v>Needs review</x:v>
      </x:c>
      <x:c r="R78" s="22" t="str">
        <x:v>Menands, New York</x:v>
      </x:c>
      <x:c r="S78" s="21" t="str">
        <x:f>IF(COUNTIF($A$6:$A$120,A78)&gt;1,"Duplicate","Unique")</x:f>
        <x:v>Unique</x:v>
      </x:c>
    </x:row>
    <x:row r="79">
      <x:c r="A79" s="21" t="str">
        <x:v>maple-smoked-cheddar</x:v>
      </x:c>
      <x:c r="B79" s="21" t="str">
        <x:v>Maple Smoked Cheddar</x:v>
      </x:c>
      <x:c r="C79" s="21" t="str">
        <x:v>Grafton Village Cheese Creamery</x:v>
      </x:c>
      <x:c r="D79" s="21" t="str">
        <x:v>Grafton</x:v>
      </x:c>
      <x:c r="E79" s="21" t="str">
        <x:v>Vermont</x:v>
      </x:c>
      <x:c r="F79" s="21" t="str">
        <x:v>USA</x:v>
      </x:c>
      <x:c r="G79" s="21" t="str">
        <x:v>Raw Cow</x:v>
      </x:c>
      <x:c r="H79" s="21" t="str">
        <x:v>Animal</x:v>
      </x:c>
      <x:c r="I79" s="21" t="str">
        <x:v>Cheddar</x:v>
      </x:c>
      <x:c r="J79" s="21" t="str">
        <x:v>12 months</x:v>
      </x:c>
      <x:c r="K79" s="22" t="str">
        <x:v>Mild, campfire, slightly sweet, meltable</x:v>
      </x:c>
      <x:c r="L79" s="22" t="str">
        <x:v>The Grafton Cooperative Cheese Company was founded in 1892 by dairy farmers who gathered together in a cooperative to make their surplus raw milk into cheese. In the days before refrigeration, there were many such cooperatives in rural agricultural communities and an abundance of fresh, creamy milk was turned into a food that could be stored for a longer period of time. This young cheddar is cold-smoked over maple and hardwood for up to four hours, imparting the signature aroma and satisfying flavor of this classic cheese.</x:v>
      </x:c>
      <x:c r="M79" s="22" t="str">
        <x:v>Kolsch, old world Syrah, Porter, cured meats, dried fruit</x:v>
      </x:c>
      <x:c r="N79" s="22" t="str">
        <x:v>Cheddar Spec Sheets.docx</x:v>
      </x:c>
      <x:c r="O79" s="22" t="str">
        <x:v>Cheddar</x:v>
      </x:c>
      <x:c r="P79" s="22" t="str"/>
      <x:c r="Q79" s="21" t="str">
        <x:f>IF(P79="","Ready","Needs review")</x:f>
        <x:v>Ready</x:v>
      </x:c>
      <x:c r="R79" s="22" t="str">
        <x:v>Grafton, Vermont</x:v>
      </x:c>
      <x:c r="S79" s="21" t="str">
        <x:f>IF(COUNTIF($A$6:$A$120,A79)&gt;1,"Duplicate","Unique")</x:f>
        <x:v>Unique</x:v>
      </x:c>
    </x:row>
    <x:row r="80">
      <x:c r="A80" s="21" t="str">
        <x:v>red-butte-hatch-chile-cheddar</x:v>
      </x:c>
      <x:c r="B80" s="21" t="str">
        <x:v>Red Butte Hatch Chile Cheddar</x:v>
      </x:c>
      <x:c r="C80" s="21" t="str">
        <x:v>Bee Hive Cheese</x:v>
      </x:c>
      <x:c r="D80" s="21" t="str">
        <x:v>Not provided by creamery</x:v>
      </x:c>
      <x:c r="E80" s="21" t="str">
        <x:v>Utah</x:v>
      </x:c>
      <x:c r="F80" s="21" t="str">
        <x:v>USA</x:v>
      </x:c>
      <x:c r="G80" s="21" t="str">
        <x:v>Pasteurized Cow</x:v>
      </x:c>
      <x:c r="H80" s="21" t="str">
        <x:v>Vegetarian</x:v>
      </x:c>
      <x:c r="I80" s="21" t="str">
        <x:v>Cheddar, cooked/pressed, hatch chili</x:v>
      </x:c>
      <x:c r="J80" s="21" t="str">
        <x:v>About 4 months</x:v>
      </x:c>
      <x:c r="K80" s="22" t="str">
        <x:v>spicy, creamy texture, meltable, salty</x:v>
      </x:c>
      <x:c r="L80" s="22" t="str">
        <x:v>Red Butte began as a collaboration with Harmons Neighborhood Grocer during Hatch Chile season. The cheese was such a success that Harmons suggested it should be available to everyone. Today, it is our second-best-selling cheese. Named after Red Butte Garden, a botanical garden at the University of Utah in Salt Lake City, this cheese reflects our deep Utah roots. Beehive Cheese has long supported Red Butte Garden, making the name a natural choice to honor our connection to the community. 1st Place World Cheese Awards 2021 1st Place &amp; Best in Show Utah Cheese Awards 2021 3rd Place International Cheese and Dairy Awards 2021</x:v>
      </x:c>
      <x:c r="M80" s="22" t="str">
        <x:v>simple beer, off-dry Riesling, meltable–nachos, enchiladas, cheese dip</x:v>
      </x:c>
      <x:c r="N80" s="22" t="str">
        <x:v>Cheddar Spec Sheets.docx</x:v>
      </x:c>
      <x:c r="O80" s="22" t="str">
        <x:v>Cheddar</x:v>
      </x:c>
      <x:c r="P80" s="22" t="str"/>
      <x:c r="Q80" s="21" t="str">
        <x:f>IF(P80="","Ready","Needs review")</x:f>
        <x:v>Ready</x:v>
      </x:c>
      <x:c r="R80" s="22" t="str">
        <x:v>Utah</x:v>
      </x:c>
      <x:c r="S80" s="21" t="str">
        <x:f>IF(COUNTIF($A$6:$A$120,A80)&gt;1,"Duplicate","Unique")</x:f>
        <x:v>Unique</x:v>
      </x:c>
    </x:row>
    <x:row r="81">
      <x:c r="A81" s="21" t="str">
        <x:v>street-ched</x:v>
      </x:c>
      <x:c r="B81" s="21" t="str">
        <x:v>Street Ched</x:v>
      </x:c>
      <x:c r="C81" s="21" t="str">
        <x:v>Urban Stead Cheese</x:v>
      </x:c>
      <x:c r="D81" s="21" t="str">
        <x:v>Cincinnati</x:v>
      </x:c>
      <x:c r="E81" s="21" t="str">
        <x:v>Ohio</x:v>
      </x:c>
      <x:c r="F81" s="21" t="str">
        <x:v>USA</x:v>
      </x:c>
      <x:c r="G81" s="21" t="str">
        <x:v>Pasteurized Jersey Milk</x:v>
      </x:c>
      <x:c r="H81" s="21" t="str">
        <x:v>Animal</x:v>
      </x:c>
      <x:c r="I81" s="21" t="str">
        <x:v>British-style Cheddar</x:v>
      </x:c>
      <x:c r="J81" s="21" t="str">
        <x:v>16-18 months</x:v>
      </x:c>
      <x:c r="K81" s="22" t="str">
        <x:v>Cavernous, earthy, robust</x:v>
      </x:c>
      <x:c r="L81" s="22" t="str">
        <x:v>Every week we make the trip by truck to Bohl’s Jerseys in Mowrystown, Ohio to gather close to 6,000 pounds of milk. We do this for a couple reasons: one, we love Bohl’s. Two, their Jersey cows produce milk with the highest butterfat and protein of all dairy cows —that’s great for cheese! We turn our milk into curds—hunks of cheese eaten fresh instead of being aged—and then begin the process of turning curds into cheddar, tomme, camembert, quark, gouda and more. It’s all handmade, cultured and handled with care. Our leftover whey from cheesemaking is then used to feed another local farmer’s livestock.</x:v>
      </x:c>
      <x:c r="M81" s="22" t="str">
        <x:v>Malty beers and hoppy ales, California Cab, Left Bank Bordeaux, Bourbon, Sarsaparilla, Black Coffee, Cured Meats, Mustard</x:v>
      </x:c>
      <x:c r="N81" s="22" t="str">
        <x:v>Cheddar Spec Sheets.docx</x:v>
      </x:c>
      <x:c r="O81" s="22" t="str">
        <x:v>Cheddar</x:v>
      </x:c>
      <x:c r="P81" s="22" t="str">
        <x:v>Milk type should be verified</x:v>
      </x:c>
      <x:c r="Q81" s="21" t="str">
        <x:f>IF(P81="","Ready","Needs review")</x:f>
        <x:v>Needs review</x:v>
      </x:c>
      <x:c r="R81" s="22" t="str">
        <x:v>Cincinnati, Ohio</x:v>
      </x:c>
      <x:c r="S81" s="21" t="str">
        <x:f>IF(COUNTIF($A$6:$A$120,A81)&gt;1,"Duplicate","Unique")</x:f>
        <x:v>Unique</x:v>
      </x:c>
    </x:row>
    <x:row r="82">
      <x:c r="A82" s="21" t="str">
        <x:v>widmer-s-2-year</x:v>
      </x:c>
      <x:c r="B82" s="21" t="str">
        <x:v>Widmer’s 2 Year</x:v>
      </x:c>
      <x:c r="C82" s="21" t="str">
        <x:v>Widmer’s Cheese Cellar</x:v>
      </x:c>
      <x:c r="D82" s="21" t="str">
        <x:v>Theresa</x:v>
      </x:c>
      <x:c r="E82" s="21" t="str">
        <x:v>Wisconsin</x:v>
      </x:c>
      <x:c r="F82" s="21" t="str">
        <x:v>USA</x:v>
      </x:c>
      <x:c r="G82" s="21" t="str">
        <x:v>Pasteurized Cow</x:v>
      </x:c>
      <x:c r="H82" s="21" t="str">
        <x:v>Animal</x:v>
      </x:c>
      <x:c r="I82" s="21" t="str">
        <x:v>Cheddar</x:v>
      </x:c>
      <x:c r="J82" s="21" t="str">
        <x:v>2 Years</x:v>
      </x:c>
      <x:c r="K82" s="22" t="str">
        <x:v>Nutty, approachable, meltable</x:v>
      </x:c>
      <x:c r="L82" s="22" t="str">
        <x:v>In Wisconsin, the cheese making legacy runs deep and examples of third-and fourth generation Wisconsin cheese makers carrying on the family tradition are common. Joe Widmer, of Widmer’s Cheese Cellars in tiny Theresa, Wisconsin, is one such third-generation example. Born into the craft and raised with his six siblings in quarters above the cheese plant, Widmer has succeeded in building the business with a combination of strict adherence to tradition and savvy marketing. Widmer’s best known for producing Brick cheese and traditional stirred-curd Colby, both Wisconsin original created in small towns nearby. More recently, Widmer has gained fame for his four-year cheddar, a 2002 ACS winner and, according to Joe, a specialty that’s fast become a signature product, changing demographics, in a part, are credited with the tipping of the scales in term of sales and production from brick to cheddar.</x:v>
      </x:c>
      <x:c r="M82" s="22" t="str">
        <x:v>Ales, Boxed Wine, Dr. Pepper, melt in recipes, good for cheese sauce on broccoli</x:v>
      </x:c>
      <x:c r="N82" s="22" t="str">
        <x:v>Cheddar Spec Sheets.docx</x:v>
      </x:c>
      <x:c r="O82" s="22" t="str">
        <x:v>Cheddar</x:v>
      </x:c>
      <x:c r="P82" s="22" t="str"/>
      <x:c r="Q82" s="21" t="str">
        <x:f>IF(P82="","Ready","Needs review")</x:f>
        <x:v>Ready</x:v>
      </x:c>
      <x:c r="R82" s="22" t="str">
        <x:v>Theresa, Wisconsin</x:v>
      </x:c>
      <x:c r="S82" s="21" t="str">
        <x:f>IF(COUNTIF($A$6:$A$120,A82)&gt;1,"Duplicate","Unique")</x:f>
        <x:v>Unique</x:v>
      </x:c>
    </x:row>
    <x:row r="83">
      <x:c r="A83" s="21" t="str">
        <x:v>ba-ba-blue</x:v>
      </x:c>
      <x:c r="B83" s="21" t="str">
        <x:v>Ba Ba Blue</x:v>
      </x:c>
      <x:c r="C83" s="21" t="str">
        <x:v>Carr Valley</x:v>
      </x:c>
      <x:c r="D83" s="21" t="str">
        <x:v>Not provided by creamery</x:v>
      </x:c>
      <x:c r="E83" s="21" t="str">
        <x:v>Central Wisconsin</x:v>
      </x:c>
      <x:c r="F83" s="21" t="str">
        <x:v>USA</x:v>
      </x:c>
      <x:c r="G83" s="21" t="str">
        <x:v>Raw or Pasteurized Sheep</x:v>
      </x:c>
      <x:c r="H83" s="21" t="str">
        <x:v>Animal</x:v>
      </x:c>
      <x:c r="I83" s="21" t="str">
        <x:v>Blue</x:v>
      </x:c>
      <x:c r="J83" s="21" t="str">
        <x:v>4 months</x:v>
      </x:c>
      <x:c r="K83" s="22" t="str">
        <x:v>Rich, milky, mild, slightly peppery, and gets more intense with age</x:v>
      </x:c>
      <x:c r="L83" s="22" t="str">
        <x:v>Owned and operated by the Cook family, Carr Valley Cheese Company is over one-hundred years old. Nestled amongst the rolling hills and lush pastures of central Wisconsin, we remain one of Wisconsin's traditional cheese plants, famous for making cheese the old-fashioned way! Milk is sourced from local farms.</x:v>
      </x:c>
      <x:c r="M83" s="22" t="str">
        <x:v>walnuts, whole muscle charcuterie, coffee, Sauternes, Merlot</x:v>
      </x:c>
      <x:c r="N83" s="22" t="str">
        <x:v>Blue Cheese Spec Sheets.docx</x:v>
      </x:c>
      <x:c r="O83" s="22" t="str">
        <x:v>Blue Cheese</x:v>
      </x:c>
      <x:c r="P83" s="22" t="str"/>
      <x:c r="Q83" s="21" t="str">
        <x:f>IF(P83="","Ready","Needs review")</x:f>
        <x:v>Ready</x:v>
      </x:c>
      <x:c r="R83" s="22" t="str">
        <x:v>Central Wisconsin</x:v>
      </x:c>
      <x:c r="S83" s="21" t="str">
        <x:f>IF(COUNTIF($A$6:$A$120,A83)&gt;1,"Duplicate","Unique")</x:f>
        <x:v>Unique</x:v>
      </x:c>
    </x:row>
    <x:row r="84">
      <x:c r="A84" s="21" t="str">
        <x:v>bayley-hazen</x:v>
      </x:c>
      <x:c r="B84" s="21" t="str">
        <x:v>Bayley Hazen</x:v>
      </x:c>
      <x:c r="C84" s="21" t="str">
        <x:v>Cellars at Jasper Hill</x:v>
      </x:c>
      <x:c r="D84" s="21" t="str">
        <x:v>Greensboro</x:v>
      </x:c>
      <x:c r="E84" s="21" t="str">
        <x:v>Vermont</x:v>
      </x:c>
      <x:c r="F84" s="21" t="str">
        <x:v>USA</x:v>
      </x:c>
      <x:c r="G84" s="21" t="str">
        <x:v>Raw Cow</x:v>
      </x:c>
      <x:c r="H84" s="21" t="str">
        <x:v>Animal</x:v>
      </x:c>
      <x:c r="I84" s="21" t="str">
        <x:v>Blue</x:v>
      </x:c>
      <x:c r="J84" s="21" t="str">
        <x:v>3-4 months</x:v>
      </x:c>
      <x:c r="K84" s="22" t="str">
        <x:v>Peppery, herbal, fruity, umami, grass, hay</x:v>
      </x:c>
      <x:c r="L84" s="22" t="str">
        <x:v>Bayley Hazen Blue is a Jasper Hill Farm original, and is made from our high-quality whole raw milk. It is named for an old military road commissioned by George Washington during the Revolutionary War. Though no major battle ever took place, the road brought Greensboro its first settlers and continues to be used today.</x:v>
      </x:c>
      <x:c r="M84" s="22" t="str">
        <x:v>Porter or stout, Port, milk chocolate, salads, burgers, steak</x:v>
      </x:c>
      <x:c r="N84" s="22" t="str">
        <x:v>Blue Cheese Spec Sheets.docx</x:v>
      </x:c>
      <x:c r="O84" s="22" t="str">
        <x:v>Blue Cheese</x:v>
      </x:c>
      <x:c r="P84" s="22" t="str"/>
      <x:c r="Q84" s="21" t="str">
        <x:f>IF(P84="","Ready","Needs review")</x:f>
        <x:v>Ready</x:v>
      </x:c>
      <x:c r="R84" s="22" t="str">
        <x:v>Greensboro, Vermont</x:v>
      </x:c>
      <x:c r="S84" s="21" t="str">
        <x:f>IF(COUNTIF($A$6:$A$120,A84)&gt;1,"Duplicate","Unique")</x:f>
        <x:v>Unique</x:v>
      </x:c>
    </x:row>
    <x:row r="85">
      <x:c r="A85" s="21" t="str">
        <x:v>cascadilla-blue</x:v>
      </x:c>
      <x:c r="B85" s="21" t="str">
        <x:v>Cascadilla Blue</x:v>
      </x:c>
      <x:c r="C85" s="21" t="str">
        <x:v>Lakins Gorges Creamery</x:v>
      </x:c>
      <x:c r="D85" s="21" t="str">
        <x:v>Waldoboro</x:v>
      </x:c>
      <x:c r="E85" s="21" t="str">
        <x:v>Maine</x:v>
      </x:c>
      <x:c r="F85" s="21" t="str">
        <x:v>USA</x:v>
      </x:c>
      <x:c r="G85" s="21" t="str">
        <x:v>Pasteurized Jersey Cow</x:v>
      </x:c>
      <x:c r="H85" s="21" t="str">
        <x:v>Animal</x:v>
      </x:c>
      <x:c r="I85" s="21" t="str">
        <x:v>Blue</x:v>
      </x:c>
      <x:c r="J85" s="21" t="str">
        <x:v>Not provided in source</x:v>
      </x:c>
      <x:c r="K85" s="22" t="str">
        <x:v>Earthy, Mineral, Medium intensity, on the dry side</x:v>
      </x:c>
      <x:c r="L85" s="22" t="str">
        <x:v>Allison began her journey making fresh and aged pasteurized cow’s milk cheeses in 2002. Neal started farming in 1992. Allison started Lakin’s Gorges Cheese in 2011 and together they created East Forty Farm and Dairy in Waldoboro, Maine in 2016, building a custom creamery and breeding a herd of heritage breed pigs for whey fed pork and Jersey cows to make the cheese.</x:v>
      </x:c>
      <x:c r="M85" s="22" t="str">
        <x:v>Sauternes, Port, Malty beer, root beer</x:v>
      </x:c>
      <x:c r="N85" s="22" t="str">
        <x:v>Blue Cheese Spec Sheets.docx</x:v>
      </x:c>
      <x:c r="O85" s="22" t="str">
        <x:v>Blue Cheese</x:v>
      </x:c>
      <x:c r="P85" s="22" t="str">
        <x:v>Missing in source: age_description</x:v>
      </x:c>
      <x:c r="Q85" s="21" t="str">
        <x:f>IF(P85="","Ready","Needs review")</x:f>
        <x:v>Needs review</x:v>
      </x:c>
      <x:c r="R85" s="22" t="str">
        <x:v>Waldoboro, Maine</x:v>
      </x:c>
      <x:c r="S85" s="21" t="str">
        <x:f>IF(COUNTIF($A$6:$A$120,A85)&gt;1,"Duplicate","Unique")</x:f>
        <x:v>Unique</x:v>
      </x:c>
    </x:row>
    <x:row r="86">
      <x:c r="A86" s="21" t="str">
        <x:v>cayuga-blue</x:v>
      </x:c>
      <x:c r="B86" s="21" t="str">
        <x:v>Cayuga Blue</x:v>
      </x:c>
      <x:c r="C86" s="21" t="str">
        <x:v>Lively Run Goat Dairy</x:v>
      </x:c>
      <x:c r="D86" s="21" t="str">
        <x:v>Interlaken</x:v>
      </x:c>
      <x:c r="E86" s="21" t="str">
        <x:v>NY</x:v>
      </x:c>
      <x:c r="F86" s="21" t="str">
        <x:v>USA</x:v>
      </x:c>
      <x:c r="G86" s="21" t="str">
        <x:v>Pasteurized Goat</x:v>
      </x:c>
      <x:c r="H86" s="21" t="str">
        <x:v>Animal</x:v>
      </x:c>
      <x:c r="I86" s="21" t="str">
        <x:v>goat blue</x:v>
      </x:c>
      <x:c r="J86" s="21" t="str">
        <x:v>1 month minimum</x:v>
      </x:c>
      <x:c r="K86" s="22" t="str">
        <x:v>a goat milk blue with rich, earthy, and mushroom flavors.</x:v>
      </x:c>
      <x:c r="L86" s="22" t="str">
        <x:v>a goat milk blue named after Cayuga Lake (the longest of the Finger Lakes). Made on a family farm, it is also one of the longest operating goat dairies in the United States.</x:v>
      </x:c>
      <x:c r="M86" s="22" t="str">
        <x:v>Beef salami and mushroom burgers.</x:v>
      </x:c>
      <x:c r="N86" s="22" t="str">
        <x:v>Blue Cheese Spec Sheets.docx</x:v>
      </x:c>
      <x:c r="O86" s="22" t="str">
        <x:v>Blue Cheese</x:v>
      </x:c>
      <x:c r="P86" s="22" t="str"/>
      <x:c r="Q86" s="21" t="str">
        <x:f>IF(P86="","Ready","Needs review")</x:f>
        <x:v>Ready</x:v>
      </x:c>
      <x:c r="R86" s="22" t="str">
        <x:v>Interlaken, NY</x:v>
      </x:c>
      <x:c r="S86" s="21" t="str">
        <x:f>IF(COUNTIF($A$6:$A$120,A86)&gt;1,"Duplicate","Unique")</x:f>
        <x:v>Unique</x:v>
      </x:c>
    </x:row>
    <x:row r="87">
      <x:c r="A87" s="21" t="str">
        <x:v>fennel-blue</x:v>
      </x:c>
      <x:c r="B87" s="21" t="str">
        <x:v>Fennel Blue</x:v>
      </x:c>
      <x:c r="C87" s="21" t="str">
        <x:v>Point Reyes Farmstead Cheese Co.</x:v>
      </x:c>
      <x:c r="D87" s="21" t="str">
        <x:v>Point Reyes</x:v>
      </x:c>
      <x:c r="E87" s="21" t="str">
        <x:v>CA</x:v>
      </x:c>
      <x:c r="F87" s="21" t="str">
        <x:v>USA</x:v>
      </x:c>
      <x:c r="G87" s="21" t="str">
        <x:v>Pasteurized Cow</x:v>
      </x:c>
      <x:c r="H87" s="21" t="str">
        <x:v>Vegetarian</x:v>
      </x:c>
      <x:c r="I87" s="21" t="str">
        <x:v>Flavored blue</x:v>
      </x:c>
      <x:c r="J87" s="21" t="str">
        <x:v>90 days minimum</x:v>
      </x:c>
      <x:c r="K87" s="22" t="str">
        <x:v>earthy, slightly sweet, fennel, and mild blue flavor.</x:v>
      </x:c>
      <x:c r="L87" s="22" t="str">
        <x:v>Bay Blue infused with fennel seeds. Placed second at the 2025 US Champion Cheese Contest. Point Reyes is a woman-owned creamery that started making cheese in August of 2000 as third generation farmers in Point Reyes, CA.</x:v>
      </x:c>
      <x:c r="M87" s="22" t="str">
        <x:v>Gin and Tonic, salads, or snack on with salami.</x:v>
      </x:c>
      <x:c r="N87" s="22" t="str">
        <x:v>Blue Cheese Spec Sheets.docx</x:v>
      </x:c>
      <x:c r="O87" s="22" t="str">
        <x:v>Blue Cheese</x:v>
      </x:c>
      <x:c r="P87" s="22" t="str"/>
      <x:c r="Q87" s="21" t="str">
        <x:f>IF(P87="","Ready","Needs review")</x:f>
        <x:v>Ready</x:v>
      </x:c>
      <x:c r="R87" s="22" t="str">
        <x:v>Point Reyes, CA</x:v>
      </x:c>
      <x:c r="S87" s="21" t="str">
        <x:f>IF(COUNTIF($A$6:$A$120,A87)&gt;1,"Duplicate","Unique")</x:f>
        <x:v>Unique</x:v>
      </x:c>
    </x:row>
    <x:row r="88">
      <x:c r="A88" s="21" t="str">
        <x:v>fourme-d-ambert</x:v>
      </x:c>
      <x:c r="B88" s="21" t="str">
        <x:v>Fourme d’Ambert</x:v>
      </x:c>
      <x:c r="C88" s="21" t="str">
        <x:v>l'Or des Domes</x:v>
      </x:c>
      <x:c r="D88" s="21" t="str">
        <x:v>Not provided by creamery</x:v>
      </x:c>
      <x:c r="E88" s="21" t="str">
        <x:v>Puy Laveze</x:v>
      </x:c>
      <x:c r="F88" s="21" t="str">
        <x:v>France</x:v>
      </x:c>
      <x:c r="G88" s="21" t="str">
        <x:v>Pasteurized cow’s milk</x:v>
      </x:c>
      <x:c r="H88" s="21" t="str">
        <x:v>traditional</x:v>
      </x:c>
      <x:c r="I88" s="21" t="str">
        <x:v>blue veined</x:v>
      </x:c>
      <x:c r="J88" s="21" t="str">
        <x:v>40 days to 3 months</x:v>
      </x:c>
      <x:c r="K88" s="22" t="str">
        <x:v>Heavy Cream, Unctuous,Button Mushrooms</x:v>
      </x:c>
      <x:c r="L88" s="22" t="str">
        <x:v>A classic french blue in the company of roquefort and bleu d’auvergne. It is made with unpressed curds so that there is a lot of moisture retention giving it a distinctive soft, creamy texture. It has held AOC status since 1972.</x:v>
      </x:c>
      <x:c r="M88" s="22" t="str">
        <x:v>Not provided in source</x:v>
      </x:c>
      <x:c r="N88" s="22" t="str">
        <x:v>Blue Cheese Spec Sheets.docx</x:v>
      </x:c>
      <x:c r="O88" s="22" t="str">
        <x:v>Blue Cheese</x:v>
      </x:c>
      <x:c r="P88" s="22" t="str">
        <x:v>Missing in source: pairings</x:v>
      </x:c>
      <x:c r="Q88" s="21" t="str">
        <x:f>IF(P88="","Ready","Needs review")</x:f>
        <x:v>Needs review</x:v>
      </x:c>
      <x:c r="R88" s="22" t="str">
        <x:v>Puy Laveze, France</x:v>
      </x:c>
      <x:c r="S88" s="21" t="str">
        <x:f>IF(COUNTIF($A$6:$A$120,A88)&gt;1,"Duplicate","Unique")</x:f>
        <x:v>Unique</x:v>
      </x:c>
    </x:row>
    <x:row r="89">
      <x:c r="A89" s="21" t="str">
        <x:v>gorgonzola-dolce</x:v>
      </x:c>
      <x:c r="B89" s="21" t="str">
        <x:v>Gorgonzola Dolce</x:v>
      </x:c>
      <x:c r="C89" s="21" t="str">
        <x:v>Arrigoni</x:v>
      </x:c>
      <x:c r="D89" s="21" t="str">
        <x:v>Not provided by creamery</x:v>
      </x:c>
      <x:c r="E89" s="21" t="str">
        <x:v>Lombardy</x:v>
      </x:c>
      <x:c r="F89" s="21" t="str">
        <x:v>Italy</x:v>
      </x:c>
      <x:c r="G89" s="21" t="str">
        <x:v>Pasteurized Cow</x:v>
      </x:c>
      <x:c r="H89" s="21" t="str">
        <x:v>Animal</x:v>
      </x:c>
      <x:c r="I89" s="21" t="str">
        <x:v>Blue</x:v>
      </x:c>
      <x:c r="J89" s="21" t="str">
        <x:v>Minimum 50 days</x:v>
      </x:c>
      <x:c r="K89" s="22" t="str">
        <x:v>Dulcet, milky, rich, slightly peppery</x:v>
      </x:c>
      <x:c r="L89" s="22" t="str">
        <x:v>Their Gorgonzola PDO Dolce enchants with its soft and creamy texture that melts gently on the palate. The inviting aroma anticipates the richness and complexity of the flavours it offers. The taste is delicate, with a pleasant sweetness that balances the intense aroma typical of this cheese. Notes of fresh milk blend with mildly spicy sensations, creating a perfect harmony between savouriness and sweetness, with a subtle hint of fresh herbs. Their Gorgonzola PDO Dolce is crafted using artisanal methods that enhance the cheesemaking expertise gained over more than 100 years of experience and the organoleptic qualities of the milk sourced from farms located no more than 30 km from the dairy. Gorgonzola PDO, one of Italy’s most renowned cheeses, boasts a history dating back to around the year 879. Originating from the namesake town in Lombardy, it is the result of centuries of cheesemaking tradition. Today, its production follows a strictly regulated process. Gorgonzola is produced in two main varieties: Dolce and Piccante. The main difference lies in the ageing process and flavour. Gorgonzola Dolce, with around two months of ageing, is soft and creamy with a mild and slightly sweet taste, ideal for spreading or use in sauces. In contrast, Gorgonzola Piccante matures for a longer period, gaining a firmer texture and a stronger, more intense flavour, perfect for lovers of bold cheeses. The PDO designation of Gorgonzola protects its origin and traditional production methods, ensuring consistently high quality.</x:v>
      </x:c>
      <x:c r="M89" s="22" t="str">
        <x:v>Dessert wines, hot chocolate, mocha coffee, milk chocolate, used for cooking in Risotto and Gnocchi</x:v>
      </x:c>
      <x:c r="N89" s="22" t="str">
        <x:v>Blue Cheese Spec Sheets.docx</x:v>
      </x:c>
      <x:c r="O89" s="22" t="str">
        <x:v>Blue Cheese</x:v>
      </x:c>
      <x:c r="P89" s="22" t="str"/>
      <x:c r="Q89" s="21" t="str">
        <x:f>IF(P89="","Ready","Needs review")</x:f>
        <x:v>Ready</x:v>
      </x:c>
      <x:c r="R89" s="22" t="str">
        <x:v>Lombardy, Italy</x:v>
      </x:c>
      <x:c r="S89" s="21" t="str">
        <x:f>IF(COUNTIF($A$6:$A$120,A89)&gt;1,"Duplicate","Unique")</x:f>
        <x:v>Unique</x:v>
      </x:c>
    </x:row>
    <x:row r="90">
      <x:c r="A90" s="21" t="str">
        <x:v>high-lawn-blue</x:v>
      </x:c>
      <x:c r="B90" s="21" t="str">
        <x:v>High Lawn Blue</x:v>
      </x:c>
      <x:c r="C90" s="21" t="str">
        <x:v>High Lawn Creamery</x:v>
      </x:c>
      <x:c r="D90" s="21" t="str">
        <x:v>Lee</x:v>
      </x:c>
      <x:c r="E90" s="21" t="str">
        <x:v>MA</x:v>
      </x:c>
      <x:c r="F90" s="21" t="str">
        <x:v>USA</x:v>
      </x:c>
      <x:c r="G90" s="21" t="str">
        <x:v>Pasteurized Jersey cow</x:v>
      </x:c>
      <x:c r="H90" s="21" t="str">
        <x:v>Traditional</x:v>
      </x:c>
      <x:c r="I90" s="21" t="str">
        <x:v>Blue veined</x:v>
      </x:c>
      <x:c r="J90" s="21" t="str">
        <x:v>2-3 months</x:v>
      </x:c>
      <x:c r="K90" s="22" t="str">
        <x:v>Heavy Cream, Rich, Earthy, Mushrooms</x:v>
      </x:c>
      <x:c r="L90" s="22" t="str">
        <x:v>a natural rind blue cheese from farmstead High Lawn Creamery! Small-ish wheel with a spreadable and crumbly texture all at once. High Lawn raises all Jersey cows and has been milking for over 100 Years</x:v>
      </x:c>
      <x:c r="M90" s="22" t="str">
        <x:v>citrusy whiskey cocktails, dessert wines, rye bread, cruciferous vegetables</x:v>
      </x:c>
      <x:c r="N90" s="22" t="str">
        <x:v>Blue Cheese Spec Sheets.docx</x:v>
      </x:c>
      <x:c r="O90" s="22" t="str">
        <x:v>Blue Cheese</x:v>
      </x:c>
      <x:c r="P90" s="22" t="str"/>
      <x:c r="Q90" s="21" t="str">
        <x:f>IF(P90="","Ready","Needs review")</x:f>
        <x:v>Ready</x:v>
      </x:c>
      <x:c r="R90" s="22" t="str">
        <x:v>Lee, MA</x:v>
      </x:c>
      <x:c r="S90" s="21" t="str">
        <x:f>IF(COUNTIF($A$6:$A$120,A90)&gt;1,"Duplicate","Unique")</x:f>
        <x:v>Unique</x:v>
      </x:c>
    </x:row>
    <x:row r="91">
      <x:c r="A91" s="21" t="str">
        <x:v>penta-creme-blue</x:v>
      </x:c>
      <x:c r="B91" s="21" t="str">
        <x:v>Penta Creme Blue</x:v>
      </x:c>
      <x:c r="C91" s="21" t="str">
        <x:v>Carr Valley Cheese</x:v>
      </x:c>
      <x:c r="D91" s="21" t="str">
        <x:v>Not provided by creamery</x:v>
      </x:c>
      <x:c r="E91" s="21" t="str">
        <x:v>Wisconsin</x:v>
      </x:c>
      <x:c r="F91" s="21" t="str">
        <x:v>USA</x:v>
      </x:c>
      <x:c r="G91" s="21" t="str">
        <x:v>gluten free blue cheese</x:v>
      </x:c>
      <x:c r="H91" s="21" t="str">
        <x:v>Vegetarian</x:v>
      </x:c>
      <x:c r="I91" s="21" t="str">
        <x:v>blue</x:v>
      </x:c>
      <x:c r="J91" s="21" t="str">
        <x:v>Not provided in source</x:v>
      </x:c>
      <x:c r="K91" s="22" t="str">
        <x:v>creamy white paste with green veins throughout, silky texture</x:v>
      </x:c>
      <x:c r="L91" s="22" t="str">
        <x:v>Carr Valley has been making cheese for four generations, over 124 years, Sid Cook the owner has won more national and international awards than any other cheese maker in America.</x:v>
      </x:c>
      <x:c r="M91" s="22" t="str">
        <x:v>honey, preserved lemon, grapes, sweet dessert wines</x:v>
      </x:c>
      <x:c r="N91" s="22" t="str">
        <x:v>Blue Cheese Spec Sheets.docx</x:v>
      </x:c>
      <x:c r="O91" s="22" t="str">
        <x:v>Blue Cheese</x:v>
      </x:c>
      <x:c r="P91" s="22" t="str">
        <x:v>Missing in source: age_description; Milk type should be verified</x:v>
      </x:c>
      <x:c r="Q91" s="21" t="str">
        <x:f>IF(P91="","Ready","Needs review")</x:f>
        <x:v>Needs review</x:v>
      </x:c>
      <x:c r="R91" s="22" t="str">
        <x:v>Wisconsin</x:v>
      </x:c>
      <x:c r="S91" s="21" t="str">
        <x:f>IF(COUNTIF($A$6:$A$120,A91)&gt;1,"Duplicate","Unique")</x:f>
        <x:v>Unique</x:v>
      </x:c>
    </x:row>
    <x:row r="92">
      <x:c r="A92" s="21" t="str">
        <x:v>negroni-blue</x:v>
      </x:c>
      <x:c r="B92" s="21" t="str">
        <x:v>Negroni Blue</x:v>
      </x:c>
      <x:c r="C92" s="21" t="str">
        <x:v>Moro Formaggi</x:v>
      </x:c>
      <x:c r="D92" s="21" t="str">
        <x:v>Not provided by creamery</x:v>
      </x:c>
      <x:c r="E92" s="21" t="str">
        <x:v>Veneto</x:v>
      </x:c>
      <x:c r="F92" s="21" t="str">
        <x:v>Italy</x:v>
      </x:c>
      <x:c r="G92" s="21" t="str">
        <x:v>Pasteurized Cow</x:v>
      </x:c>
      <x:c r="H92" s="21" t="str">
        <x:v>Animal</x:v>
      </x:c>
      <x:c r="I92" s="21" t="str">
        <x:v>Flavored Blue</x:v>
      </x:c>
      <x:c r="J92" s="21" t="str">
        <x:v>2 months</x:v>
      </x:c>
      <x:c r="K92" s="22" t="str">
        <x:v>unique blue soaked in gin, sweet vermouth and bitters covered in candied orange peel, boozy and botanical just like its namesake cocktail</x:v>
      </x:c>
      <x:c r="L92" s="22" t="str">
        <x:v>brainchild of Sergio and Susi Moro’s son Giovanni who wanted to design cheeses that could be easily paired with cocktails</x:v>
      </x:c>
      <x:c r="M92" s="22" t="str">
        <x:v>prosciutto and a Negroni</x:v>
      </x:c>
      <x:c r="N92" s="22" t="str">
        <x:v>Blue Cheese Spec Sheets.docx</x:v>
      </x:c>
      <x:c r="O92" s="22" t="str">
        <x:v>Blue Cheese</x:v>
      </x:c>
      <x:c r="P92" s="22" t="str"/>
      <x:c r="Q92" s="21" t="str">
        <x:f>IF(P92="","Ready","Needs review")</x:f>
        <x:v>Ready</x:v>
      </x:c>
      <x:c r="R92" s="22" t="str">
        <x:v>Veneto, Italy</x:v>
      </x:c>
      <x:c r="S92" s="21" t="str">
        <x:f>IF(COUNTIF($A$6:$A$120,A92)&gt;1,"Duplicate","Unique")</x:f>
        <x:v>Unique</x:v>
      </x:c>
    </x:row>
    <x:row r="93">
      <x:c r="A93" s="21" t="str">
        <x:v>red-rock</x:v>
      </x:c>
      <x:c r="B93" s="21" t="str">
        <x:v>Red Rock</x:v>
      </x:c>
      <x:c r="C93" s="21" t="str">
        <x:v>Roelli Cheese Haus</x:v>
      </x:c>
      <x:c r="D93" s="21" t="str">
        <x:v>Shullsburg</x:v>
      </x:c>
      <x:c r="E93" s="21" t="str">
        <x:v>Wisconsin</x:v>
      </x:c>
      <x:c r="F93" s="21" t="str">
        <x:v>USA</x:v>
      </x:c>
      <x:c r="G93" s="21" t="str">
        <x:v>Pasteurized Cow</x:v>
      </x:c>
      <x:c r="H93" s="21" t="str">
        <x:v>Animal</x:v>
      </x:c>
      <x:c r="I93" s="21" t="str">
        <x:v>Cheddar blue</x:v>
      </x:c>
      <x:c r="J93" s="21" t="str">
        <x:v>60 days minimum</x:v>
      </x:c>
      <x:c r="K93" s="22" t="str">
        <x:v>a natural rinded cheddar with blue veins with a mild earthy, tangy, and peppery notes.</x:v>
      </x:c>
      <x:c r="L93" s="22" t="str">
        <x:v>an original from Master Cheesemaker Chris Roelli (a fourth generation cheesemaker) that gets its name from the local stone surrounding the aging room. Chris Roelli is a certified master of cheddar, blue, and alpine styles. 2013 Best in Class at US Champion Cheese Contest.</x:v>
      </x:c>
      <x:c r="M93" s="22" t="str">
        <x:v>dried fruits and Pinot Noir or sparkling wine.</x:v>
      </x:c>
      <x:c r="N93" s="22" t="str">
        <x:v>Blue Cheese Spec Sheets.docx</x:v>
      </x:c>
      <x:c r="O93" s="22" t="str">
        <x:v>Blue Cheese</x:v>
      </x:c>
      <x:c r="P93" s="22" t="str"/>
      <x:c r="Q93" s="21" t="str">
        <x:f>IF(P93="","Ready","Needs review")</x:f>
        <x:v>Ready</x:v>
      </x:c>
      <x:c r="R93" s="22" t="str">
        <x:v>Shullsburg, Wisconsin</x:v>
      </x:c>
      <x:c r="S93" s="21" t="str">
        <x:f>IF(COUNTIF($A$6:$A$120,A93)&gt;1,"Duplicate","Unique")</x:f>
        <x:v>Unique</x:v>
      </x:c>
    </x:row>
    <x:row r="94">
      <x:c r="A94" s="21" t="str">
        <x:v>rogue-river-blue</x:v>
      </x:c>
      <x:c r="B94" s="21" t="str">
        <x:v>Rogue River Blue</x:v>
      </x:c>
      <x:c r="C94" s="21" t="str">
        <x:v>Rogue Creamery</x:v>
      </x:c>
      <x:c r="D94" s="21" t="str">
        <x:v>Rogue River Valley</x:v>
      </x:c>
      <x:c r="E94" s="21" t="str">
        <x:v>Southern Oregon</x:v>
      </x:c>
      <x:c r="F94" s="21" t="str">
        <x:v>USA</x:v>
      </x:c>
      <x:c r="G94" s="21" t="str">
        <x:v>Pasteurized, organic cow</x:v>
      </x:c>
      <x:c r="H94" s="21" t="str">
        <x:v>Vegetarian</x:v>
      </x:c>
      <x:c r="I94" s="21" t="str">
        <x:v>Blue, Wrapped in Syrah grape leaves that have been macerated in pear spirit</x:v>
      </x:c>
      <x:c r="J94" s="21" t="str">
        <x:v>9-12 months</x:v>
      </x:c>
      <x:c r="K94" s="22" t="str">
        <x:v>Boozy, piquant, complex</x:v>
      </x:c>
      <x:c r="L94" s="22" t="str">
        <x:v>As fall comes to the Rogue Valley, cooler temperatures and wet weather bring renewed growth to the pastures. This is when our cow’s milk is at its best – and it’s only during these months that we make our limited edition, seasonal Rogue River Blue – a cheese named World Champion at the 2019/20 World Cheese Awards. After 9 to 11 months of careful tending in our aging caves, our team hand-wraps each wheel in organic, biodynamic Syrah grape leaves that have soaked in pear spirits. On the Autumnal Equinox each year, we celebrate the release of the year’s new Rogue River Blue Cheese.</x:v>
      </x:c>
      <x:c r="M94" s="22" t="str">
        <x:v>Pear Brandy, poached pears, apple juice, walnuts and honey</x:v>
      </x:c>
      <x:c r="N94" s="22" t="str">
        <x:v>Blue Cheese Spec Sheets.docx</x:v>
      </x:c>
      <x:c r="O94" s="22" t="str">
        <x:v>Blue Cheese</x:v>
      </x:c>
      <x:c r="P94" s="22" t="str"/>
      <x:c r="Q94" s="21" t="str">
        <x:f>IF(P94="","Ready","Needs review")</x:f>
        <x:v>Ready</x:v>
      </x:c>
      <x:c r="R94" s="22" t="str">
        <x:v>Rogue River Valley, Southern Oregon</x:v>
      </x:c>
      <x:c r="S94" s="21" t="str">
        <x:f>IF(COUNTIF($A$6:$A$120,A94)&gt;1,"Duplicate","Unique")</x:f>
        <x:v>Unique</x:v>
      </x:c>
    </x:row>
    <x:row r="95">
      <x:c r="A95" s="21" t="str">
        <x:v>shakerag-blue</x:v>
      </x:c>
      <x:c r="B95" s="21" t="str">
        <x:v>Shakerag Blue</x:v>
      </x:c>
      <x:c r="C95" s="21" t="str">
        <x:v>Sequatchie Cove</x:v>
      </x:c>
      <x:c r="D95" s="21" t="str">
        <x:v>Not provided by creamery</x:v>
      </x:c>
      <x:c r="E95" s="21" t="str">
        <x:v>Tennessee</x:v>
      </x:c>
      <x:c r="F95" s="21" t="str">
        <x:v>USA</x:v>
      </x:c>
      <x:c r="G95" s="21" t="str">
        <x:v>pasteurized cow</x:v>
      </x:c>
      <x:c r="H95" s="21" t="str">
        <x:v>animal rennet</x:v>
      </x:c>
      <x:c r="I95" s="21" t="str">
        <x:v>Flavored Blue</x:v>
      </x:c>
      <x:c r="J95" s="21" t="str">
        <x:v>4 months</x:v>
      </x:c>
      <x:c r="K95" s="22" t="str">
        <x:v>rich and creamy balanced with the sharpness of the blue veining, some say it reminds them of Juicy Fruit gum</x:v>
      </x:c>
      <x:c r="L95" s="22" t="str">
        <x:v>The soaking of the fig leaves in local whiskey before vacuum sealing for aging is a nod to the cheese’s namesake. According to legend, a thirsty person could leave a white rag and coins in a tree stump. When they returned later, a jar of moonshine would be waiting. The family creamery owned by Nathan and Padgett Arnold is 100% solar powered with grass fed Jersey and Jersey-Holstein cows</x:v>
      </x:c>
      <x:c r="M95" s="22" t="str">
        <x:v>Chattanooga Whiskey, root beer, dried fruit and nuts or melted on top of a steak or crumbled in a salad</x:v>
      </x:c>
      <x:c r="N95" s="22" t="str">
        <x:v>Blue Cheese Spec Sheets.docx</x:v>
      </x:c>
      <x:c r="O95" s="22" t="str">
        <x:v>Blue Cheese</x:v>
      </x:c>
      <x:c r="P95" s="22" t="str"/>
      <x:c r="Q95" s="21" t="str">
        <x:f>IF(P95="","Ready","Needs review")</x:f>
        <x:v>Ready</x:v>
      </x:c>
      <x:c r="R95" s="22" t="str">
        <x:v>Tennessee</x:v>
      </x:c>
      <x:c r="S95" s="21" t="str">
        <x:f>IF(COUNTIF($A$6:$A$120,A95)&gt;1,"Duplicate","Unique")</x:f>
        <x:v>Unique</x:v>
      </x:c>
    </x:row>
    <x:row r="96">
      <x:c r="A96" s="21" t="str">
        <x:v>stilton-pdo</x:v>
      </x:c>
      <x:c r="B96" s="21" t="str">
        <x:v>Stilton PDO</x:v>
      </x:c>
      <x:c r="C96" s="21" t="str">
        <x:v>Colston Bassett</x:v>
      </x:c>
      <x:c r="D96" s="21" t="str">
        <x:v>Not provided by creamery</x:v>
      </x:c>
      <x:c r="E96" s="21" t="str">
        <x:v>Nottinghamshire</x:v>
      </x:c>
      <x:c r="F96" s="21" t="str">
        <x:v>United Kingdom</x:v>
      </x:c>
      <x:c r="G96" s="21" t="str">
        <x:v>pasteurized Cow</x:v>
      </x:c>
      <x:c r="H96" s="21" t="str">
        <x:v>Traditional</x:v>
      </x:c>
      <x:c r="I96" s="21" t="str">
        <x:v>blue veined</x:v>
      </x:c>
      <x:c r="J96" s="21" t="str">
        <x:v>3 - 4 months</x:v>
      </x:c>
      <x:c r="K96" s="22" t="str">
        <x:v>Fudgy, Salted Graham Crackers, Sweet Cream</x:v>
      </x:c>
      <x:c r="L96" s="22" t="str">
        <x:v>Stilton is an EU protected food name, meaning it can only be produced in the English counties of Derbyshire, Nottinghamshire, and Leicestershire where it’s said to have originated. Stilton must be made with pasteurized milk by law, this is what differentiates Stilton &amp; Stichelton! Colston Bassett is a top tier Stilton with only four cheesemakers in the last one hundred years. Colston Bassett has maintained a tradition and quality of cheesemaking that is unparalleled in the Stilton world. All the milk for this Stilton comes from within 1.5 miles of the dairy</x:v>
      </x:c>
      <x:c r="M96" s="22" t="str">
        <x:v>Port wine, Graham Crackers, Chocolate cookies, stouts &amp; porters</x:v>
      </x:c>
      <x:c r="N96" s="22" t="str">
        <x:v>Blue Cheese Spec Sheets.docx</x:v>
      </x:c>
      <x:c r="O96" s="22" t="str">
        <x:v>Blue Cheese</x:v>
      </x:c>
      <x:c r="P96" s="22" t="str"/>
      <x:c r="Q96" s="21" t="str">
        <x:f>IF(P96="","Ready","Needs review")</x:f>
        <x:v>Ready</x:v>
      </x:c>
      <x:c r="R96" s="22" t="str">
        <x:v>Nottinghamshire, UK</x:v>
      </x:c>
      <x:c r="S96" s="21" t="str">
        <x:f>IF(COUNTIF($A$6:$A$120,A96)&gt;1,"Duplicate","Unique")</x:f>
        <x:v>Unique</x:v>
      </x:c>
    </x:row>
    <x:row r="97">
      <x:c r="A97" s="21" t="str">
        <x:v>stichelton</x:v>
      </x:c>
      <x:c r="B97" s="21" t="str">
        <x:v>Stichelton</x:v>
      </x:c>
      <x:c r="C97" s="21" t="str">
        <x:v>Stichelton Dairy</x:v>
      </x:c>
      <x:c r="D97" s="21" t="str">
        <x:v>Welbeck Estate in Nottinghamshire</x:v>
      </x:c>
      <x:c r="E97" s="21" t="str">
        <x:v>.</x:v>
      </x:c>
      <x:c r="F97" s="21" t="str">
        <x:v>United Kingdom</x:v>
      </x:c>
      <x:c r="G97" s="21" t="str">
        <x:v>Raw cow (Andersonville Herd)</x:v>
      </x:c>
      <x:c r="H97" s="21" t="str">
        <x:v>traditional</x:v>
      </x:c>
      <x:c r="I97" s="21" t="str">
        <x:v>blue veined</x:v>
      </x:c>
      <x:c r="J97" s="21" t="str">
        <x:v>4–8 months</x:v>
      </x:c>
      <x:c r="K97" s="22" t="str">
        <x:v>sweet cream, apple cider, herbs, savory finish</x:v>
      </x:c>
      <x:c r="L97" s="22" t="str">
        <x:v>Withersbrook Blue is made from raw milk from Jasper Hill Farm’s Andersonville herd in Greensboro, Vermont. After an initial aging period in the Cellars at Jasper Hill, the cheese develops delicate blue veining and a dense, creamy paste. The cheese is then soaked with Eden Ice Cider, a dessert cider produced by leaving apple cider outdoors through the Vermont winter. Freezing concentrates the sugars while removing excess water, resulting in a cider with bright acidity and intense apple character. This soaking process gently infuses the cheese, adding fruit and acidity without overwhelming the blue. The result is a cheese that feels balanced and layered, moving from sweet cream and apple to a lingering savory finish. Customer Type: Blue curious customers, cider lovers, dessert cheese fans, sweet savory palates. How to sell it in one sentence: “A creamy raw milk blue soaked in Vermont ice cider with apple sweetness and gentle funk.”</x:v>
      </x:c>
      <x:c r="M97" s="22" t="str">
        <x:v>Ice cider, ribeye, honey, lemon curd</x:v>
      </x:c>
      <x:c r="N97" s="22" t="str">
        <x:v>Blue Cheese Spec Sheets.docx</x:v>
      </x:c>
      <x:c r="O97" s="22" t="str">
        <x:v>Blue Cheese</x:v>
      </x:c>
      <x:c r="P97" s="22" t="str"/>
      <x:c r="Q97" s="21" t="str">
        <x:f>IF(P97="","Ready","Needs review")</x:f>
        <x:v>Ready</x:v>
      </x:c>
      <x:c r="R97" s="22" t="str">
        <x:v>Welbeck Estate in Nottinghamshire, England.</x:v>
      </x:c>
      <x:c r="S97" s="21" t="str">
        <x:f>IF(COUNTIF($A$6:$A$120,A97)&gt;1,"Duplicate","Unique")</x:f>
        <x:v>Unique</x:v>
      </x:c>
    </x:row>
    <x:row r="98">
      <x:c r="A98" s="21" t="str">
        <x:v>alfred-le-fermier</x:v>
      </x:c>
      <x:c r="B98" s="21" t="str">
        <x:v>Alfred Le Fermier</x:v>
      </x:c>
      <x:c r="C98" s="21" t="str">
        <x:v>Fromagerie La Station</x:v>
      </x:c>
      <x:c r="D98" s="21" t="str">
        <x:v>Not provided by creamery</x:v>
      </x:c>
      <x:c r="E98" s="21" t="str">
        <x:v>Quebec</x:v>
      </x:c>
      <x:c r="F98" s="21" t="str">
        <x:v>Canada</x:v>
      </x:c>
      <x:c r="G98" s="21" t="str">
        <x:v>organic raw cows milk (Holstein)</x:v>
      </x:c>
      <x:c r="H98" s="21" t="str">
        <x:v>animal</x:v>
      </x:c>
      <x:c r="I98" s="21" t="str">
        <x:v>semi-hard</x:v>
      </x:c>
      <x:c r="J98" s="21" t="str">
        <x:v>8-24 months</x:v>
      </x:c>
      <x:c r="K98" s="22" t="str">
        <x:v>nutty, fruity, savory and herbaceous with hint of caramel and roasted hazelnuts</x:v>
      </x:c>
      <x:c r="L98" s="22" t="str">
        <x:v>Fourth generation farmers following in the footsteps of Alfred Boldec, their ancestor who has been farming the land since 1928. They prioritize the health and well being of their 150 Holstein herd and the quality of the cheese they produce. Cheese is aged on wooden boards. Named First Place Best of Show at 2025 American Cheese Society Judging and Competition.</x:v>
      </x:c>
      <x:c r="M98" s="22" t="str">
        <x:v>honey and fresh apples with rustic , shiraz</x:v>
      </x:c>
      <x:c r="N98" s="22" t="str">
        <x:v>Alpine Spec Sheets.docx</x:v>
      </x:c>
      <x:c r="O98" s="22" t="str">
        <x:v>Alpine</x:v>
      </x:c>
      <x:c r="P98" s="22" t="str"/>
      <x:c r="Q98" s="21" t="str">
        <x:f>IF(P98="","Ready","Needs review")</x:f>
        <x:v>Ready</x:v>
      </x:c>
      <x:c r="R98" s="22" t="str">
        <x:v>Quebec, Canada</x:v>
      </x:c>
      <x:c r="S98" s="21" t="str">
        <x:f>IF(COUNTIF($A$6:$A$120,A98)&gt;1,"Duplicate","Unique")</x:f>
        <x:v>Unique</x:v>
      </x:c>
    </x:row>
    <x:row r="99">
      <x:c r="A99" s="21" t="str">
        <x:v>alp-blossom</x:v>
      </x:c>
      <x:c r="B99" s="21" t="str">
        <x:v>Alp Blossom</x:v>
      </x:c>
      <x:c r="C99" s="21" t="str">
        <x:v>Hofkäserei Kraus / Maker to Monger Imports it</x:v>
      </x:c>
      <x:c r="D99" s="21" t="str">
        <x:v>Not provided by creamery</x:v>
      </x:c>
      <x:c r="E99" s="21" t="str">
        <x:v>Bavaria</x:v>
      </x:c>
      <x:c r="F99" s="21" t="str">
        <x:v>Germany</x:v>
      </x:c>
      <x:c r="G99" s="21" t="str">
        <x:v>raw, cow</x:v>
      </x:c>
      <x:c r="H99" s="21" t="str">
        <x:v>traditional</x:v>
      </x:c>
      <x:c r="I99" s="21" t="str">
        <x:v>alpine, cooked pressed</x:v>
      </x:c>
      <x:c r="J99" s="21" t="str">
        <x:v>7 months</x:v>
      </x:c>
      <x:c r="K99" s="22" t="str">
        <x:v>Savory, Herbaceous, Cooked Cashews, Oregano, (honestly tastes like Pizza Combos)</x:v>
      </x:c>
      <x:c r="L99" s="22" t="str">
        <x:v>Paying tribute to the Alpine environment that helps shape and flavor the milk used in production, this cheese is coated in a diverse combination of dried flower petals, herbs, and spices that grow out in the pastures surrounding the dairy. The cheese is literally coated in the same things that the cows are grazing on. Head cheesemaker Albert Kraus sources milk from his brother’s neighboring herd of Brown Swiss cows. Brown Swiss cattle are known for the high butterfat content of their milk, which yields a cheese with a golden inner paste and a creamy toothsome bite.</x:v>
      </x:c>
      <x:c r="M99" s="22" t="str">
        <x:v>Dry Reisling, hefeweizen, jasmine tea, clover honey, dark chocolate, olive oil, bresaola</x:v>
      </x:c>
      <x:c r="N99" s="22" t="str">
        <x:v>Alpine Spec Sheets.docx</x:v>
      </x:c>
      <x:c r="O99" s="22" t="str">
        <x:v>Alpine</x:v>
      </x:c>
      <x:c r="P99" s="22" t="str"/>
      <x:c r="Q99" s="21" t="str">
        <x:f>IF(P99="","Ready","Needs review")</x:f>
        <x:v>Ready</x:v>
      </x:c>
      <x:c r="R99" s="22" t="str">
        <x:v>Bavaria, Germany</x:v>
      </x:c>
      <x:c r="S99" s="21" t="str">
        <x:f>IF(COUNTIF($A$6:$A$120,A99)&gt;1,"Duplicate","Unique")</x:f>
        <x:v>Unique</x:v>
      </x:c>
    </x:row>
    <x:row r="100">
      <x:c r="A100" s="21" t="str">
        <x:v>alpha-tolman</x:v>
      </x:c>
      <x:c r="B100" s="21" t="str">
        <x:v>Alpha Tolman</x:v>
      </x:c>
      <x:c r="C100" s="21" t="str">
        <x:v>Jasper Hill Farm</x:v>
      </x:c>
      <x:c r="D100" s="21" t="str">
        <x:v>Greensboro</x:v>
      </x:c>
      <x:c r="E100" s="21" t="str">
        <x:v>Vermont</x:v>
      </x:c>
      <x:c r="F100" s="21" t="str">
        <x:v>USA</x:v>
      </x:c>
      <x:c r="G100" s="21" t="str">
        <x:v>Raw Cow</x:v>
      </x:c>
      <x:c r="H100" s="21" t="str">
        <x:v>Animal</x:v>
      </x:c>
      <x:c r="I100" s="21" t="str">
        <x:v>Alpine, cooked/pressed</x:v>
      </x:c>
      <x:c r="J100" s="21" t="str">
        <x:v>8-12 months</x:v>
      </x:c>
      <x:c r="K100" s="22" t="str">
        <x:v>Meaty, bone broth, allium, meltable</x:v>
      </x:c>
      <x:c r="L100" s="22" t="str">
        <x:v>ALPHA TOLMAN is named for a philanthropic dairy farmer who built the Greensboro library in 1900. Alpha's grandfather, Enoch, was one of our town's original settlers. His namesake cheese is made at our renovated Jasper Hill Creamery in Greensboro, Vermont. Alpha Tolman is now being made with our “Sax Rennet”—a traditional rennet made using cultures from previous makes and calf vells.</x:v>
      </x:c>
      <x:c r="M100" s="22" t="str">
        <x:v>Ale, Porter, Red Burgundy, Cider, Apple Juice, Iced Mocha, pickles, apricot jam, prosciutto</x:v>
      </x:c>
      <x:c r="N100" s="22" t="str">
        <x:v>Alpine Spec Sheets.docx</x:v>
      </x:c>
      <x:c r="O100" s="22" t="str">
        <x:v>Alpine</x:v>
      </x:c>
      <x:c r="P100" s="22" t="str"/>
      <x:c r="Q100" s="21" t="str">
        <x:f>IF(P100="","Ready","Needs review")</x:f>
        <x:v>Ready</x:v>
      </x:c>
      <x:c r="R100" s="22" t="str">
        <x:v>Greensboro, Vermont</x:v>
      </x:c>
      <x:c r="S100" s="21" t="str">
        <x:f>IF(COUNTIF($A$6:$A$120,A100)&gt;1,"Duplicate","Unique")</x:f>
        <x:v>Unique</x:v>
      </x:c>
    </x:row>
    <x:row r="101">
      <x:c r="A101" s="21" t="str">
        <x:v>ashbrook</x:v>
      </x:c>
      <x:c r="B101" s="21" t="str">
        <x:v>Ashbrook</x:v>
      </x:c>
      <x:c r="C101" s="21" t="str">
        <x:v>Spring Brook Farm</x:v>
      </x:c>
      <x:c r="D101" s="21" t="str">
        <x:v>Reading</x:v>
      </x:c>
      <x:c r="E101" s="21" t="str">
        <x:v>VT</x:v>
      </x:c>
      <x:c r="F101" s="21" t="str">
        <x:v>USA</x:v>
      </x:c>
      <x:c r="G101" s="21" t="str">
        <x:v>Raw Jersey Cow</x:v>
      </x:c>
      <x:c r="H101" s="21" t="str">
        <x:v>Animal</x:v>
      </x:c>
      <x:c r="I101" s="21" t="str">
        <x:v>Washed rind/Morbier-Style</x:v>
      </x:c>
      <x:c r="J101" s="21" t="str">
        <x:v>~3 Months</x:v>
      </x:c>
      <x:c r="K101" s="22" t="str">
        <x:v>Savory and earthy with aromas of damp cellar, cultured butter, mushrooms, and mild funk. The paste is sweet and milky with a subtle vegetal tang from the line of vegetable ash running through the center.</x:v>
      </x:c>
      <x:c r="L101" s="22" t="str">
        <x:v>Made at Spring Brook Farm in Vermont, Ashbrook is the farm’s New England-inspired take on Morbier. Crafted with raw Jersey cow milk and aged for about three months, the cheese features a distinctive line of vegetable ash through the paste in homage to the traditional French style. Spring Brook Farm operates alongside Farms for City Kids, an educational nonprofit focused on connecting urban youth with agriculture, making the creamery deeply tied to both land and community.</x:v>
      </x:c>
      <x:c r="M101" s="22" t="str">
        <x:v>green apple, prosciutto, Riesling, hoppy ale</x:v>
      </x:c>
      <x:c r="N101" s="22" t="str">
        <x:v>Alpine Spec Sheets.docx</x:v>
      </x:c>
      <x:c r="O101" s="22" t="str">
        <x:v>Alpine</x:v>
      </x:c>
      <x:c r="P101" s="22" t="str"/>
      <x:c r="Q101" s="21" t="str">
        <x:f>IF(P101="","Ready","Needs review")</x:f>
        <x:v>Ready</x:v>
      </x:c>
      <x:c r="R101" s="22" t="str">
        <x:v>Reading, VT</x:v>
      </x:c>
      <x:c r="S101" s="21" t="str">
        <x:f>IF(COUNTIF($A$6:$A$120,A101)&gt;1,"Duplicate","Unique")</x:f>
        <x:v>Unique</x:v>
      </x:c>
    </x:row>
    <x:row r="102">
      <x:c r="A102" s="21" t="str">
        <x:v>challerhocker</x:v>
      </x:c>
      <x:c r="B102" s="21" t="str">
        <x:v>Challerhocker</x:v>
      </x:c>
      <x:c r="C102" s="21" t="str">
        <x:v>Not provided in source</x:v>
      </x:c>
      <x:c r="D102" s="21" t="str">
        <x:v>Not provided by creamery</x:v>
      </x:c>
      <x:c r="E102" s="21" t="str">
        <x:v>St. Gallen</x:v>
      </x:c>
      <x:c r="F102" s="21" t="str">
        <x:v>Switzerland</x:v>
      </x:c>
      <x:c r="G102" s="21" t="str">
        <x:v>raw cow’s milk</x:v>
      </x:c>
      <x:c r="H102" s="21" t="str">
        <x:v>animal</x:v>
      </x:c>
      <x:c r="I102" s="21" t="str">
        <x:v>semi hard Swiss alpine style</x:v>
      </x:c>
      <x:c r="J102" s="21" t="str">
        <x:v>minimum of ten months</x:v>
      </x:c>
      <x:c r="K102" s="22" t="str">
        <x:v>toasted almonds, sweet onion and butterscotch</x:v>
      </x:c>
      <x:c r="L102" s="22" t="str">
        <x:v>Challerhocker means"sitting in the cellar”, made by cheesemaker Walter Rass</x:v>
      </x:c>
      <x:c r="M102" s="22" t="str">
        <x:v>dates or figs, melted in fondue, on a grilled cheese sandwich or on French onion soup, crisp cider or chardonnay</x:v>
      </x:c>
      <x:c r="N102" s="22" t="str">
        <x:v>Alpine Spec Sheets.docx</x:v>
      </x:c>
      <x:c r="O102" s="22" t="str">
        <x:v>Alpine</x:v>
      </x:c>
      <x:c r="P102" s="22" t="str">
        <x:v>Missing in source: creamery</x:v>
      </x:c>
      <x:c r="Q102" s="21" t="str">
        <x:f>IF(P102="","Ready","Needs review")</x:f>
        <x:v>Needs review</x:v>
      </x:c>
      <x:c r="R102" s="22" t="str">
        <x:v>St. Gallen, Switzerland</x:v>
      </x:c>
      <x:c r="S102" s="21" t="str">
        <x:f>IF(COUNTIF($A$6:$A$120,A102)&gt;1,"Duplicate","Unique")</x:f>
        <x:v>Unique</x:v>
      </x:c>
    </x:row>
    <x:row r="103">
      <x:c r="A103" s="21" t="str">
        <x:v>cyclamen-comte</x:v>
      </x:c>
      <x:c r="B103" s="21" t="str">
        <x:v>Cyclamen Comte</x:v>
      </x:c>
      <x:c r="C103" s="21" t="str">
        <x:v>Marcel Petit</x:v>
      </x:c>
      <x:c r="D103" s="21" t="str">
        <x:v>Not provided by creamery</x:v>
      </x:c>
      <x:c r="E103" s="21" t="str">
        <x:v>Fort St Antoine</x:v>
      </x:c>
      <x:c r="F103" s="21" t="str">
        <x:v>France</x:v>
      </x:c>
      <x:c r="G103" s="21" t="str">
        <x:v>raw cow</x:v>
      </x:c>
      <x:c r="H103" s="21" t="str">
        <x:v>traditional</x:v>
      </x:c>
      <x:c r="I103" s="21" t="str">
        <x:v>alpine, cooked-pressed</x:v>
      </x:c>
      <x:c r="J103" s="21" t="str">
        <x:v>30 months</x:v>
      </x:c>
      <x:c r="K103" s="22" t="str">
        <x:v>rich, roasted pork, cooked nuts, crystalline</x:v>
      </x:c>
      <x:c r="L103" s="22" t="str">
        <x:v>The name “Cyclamen” is a reference to a type of Millesime that is particularly prized for its quality and long aging. Millésime is a French term translating to "vintage" or a "great vintage," typically referring to the specific year a wine or Champagne was produced. Marcel Petit ages all of the comtes in the side of a Mountain in the Jura range. The aging cellars are what was once Fort St Antoine, a military fortress. It keeps the temperature lower and the humidity up allowing the older age profiles to have a softness about them still while developing a robust flavor profile</x:v>
      </x:c>
      <x:c r="M103" s="22" t="str">
        <x:v>vin de jura, Poulsard, amber ale, toasted walnuts, dry ciders, apricots</x:v>
      </x:c>
      <x:c r="N103" s="22" t="str">
        <x:v>Alpine Spec Sheets.docx</x:v>
      </x:c>
      <x:c r="O103" s="22" t="str">
        <x:v>Alpine</x:v>
      </x:c>
      <x:c r="P103" s="22" t="str"/>
      <x:c r="Q103" s="21" t="str">
        <x:f>IF(P103="","Ready","Needs review")</x:f>
        <x:v>Ready</x:v>
      </x:c>
      <x:c r="R103" s="22" t="str">
        <x:v>Fort St Antoine, France</x:v>
      </x:c>
      <x:c r="S103" s="21" t="str">
        <x:f>IF(COUNTIF($A$6:$A$120,A103)&gt;1,"Duplicate","Unique")</x:f>
        <x:v>Unique</x:v>
      </x:c>
    </x:row>
    <x:row r="104">
      <x:c r="A104" s="21" t="str">
        <x:v>fontina-valle-d-aosta</x:v>
      </x:c>
      <x:c r="B104" s="21" t="str">
        <x:v>Fontina Valle D’Aosta</x:v>
      </x:c>
      <x:c r="C104" s="21" t="str">
        <x:v>Two Cooperatives via Forever Cheese</x:v>
      </x:c>
      <x:c r="D104" s="21" t="str">
        <x:v>Not provided by creamery</x:v>
      </x:c>
      <x:c r="E104" s="21" t="str">
        <x:v>Valle D’Aosta</x:v>
      </x:c>
      <x:c r="F104" s="21" t="str">
        <x:v>Italy</x:v>
      </x:c>
      <x:c r="G104" s="21" t="str">
        <x:v>Raw Cow</x:v>
      </x:c>
      <x:c r="H104" s="21" t="str">
        <x:v>Animal</x:v>
      </x:c>
      <x:c r="I104" s="21" t="str">
        <x:v>Cooked/unpressed, washed rind, alpine</x:v>
      </x:c>
      <x:c r="J104" s="21" t="str">
        <x:v>3 months</x:v>
      </x:c>
      <x:c r="K104" s="22" t="str">
        <x:v>Fruity, herbaceous, floral, nutty, meltable</x:v>
      </x:c>
      <x:c r="L104" s="22" t="str">
        <x:v>The original Fontina produced in the Italian Alps is a semisoft, washed-rind unpasteurized cow’s milk cheese aged about 3 months. Rich and buttery, Fontina finishes with an earthy flavor. It’s excellent for fondues and au gratin dishes. The single-farm Alpeggio version is made exclusively with the summer milk of Valdostana cows grazing on Alpine pastures (1900+m). We’ve hand-selected our two favorite dairies to bring you this special cheese, available only 3 months of the year (November-February).</x:v>
      </x:c>
      <x:c r="M104" s="22" t="str">
        <x:v>Wines of the region, herbaceous Vermentino, brandy, grappa, olives, cured meats</x:v>
      </x:c>
      <x:c r="N104" s="22" t="str">
        <x:v>Alpine Spec Sheets.docx</x:v>
      </x:c>
      <x:c r="O104" s="22" t="str">
        <x:v>Alpine</x:v>
      </x:c>
      <x:c r="P104" s="22" t="str"/>
      <x:c r="Q104" s="21" t="str">
        <x:f>IF(P104="","Ready","Needs review")</x:f>
        <x:v>Ready</x:v>
      </x:c>
      <x:c r="R104" s="22" t="str">
        <x:v>Valle D’Aosta, Italy</x:v>
      </x:c>
      <x:c r="S104" s="21" t="str">
        <x:f>IF(COUNTIF($A$6:$A$120,A104)&gt;1,"Duplicate","Unique")</x:f>
        <x:v>Unique</x:v>
      </x:c>
    </x:row>
    <x:row r="105">
      <x:c r="A105" s="21" t="str">
        <x:v>gruyere-surchoix-surchoix-means-first-choice-or-top-quality</x:v>
      </x:c>
      <x:c r="B105" s="21" t="str">
        <x:v>Gruyere Surchoix (‘Surchoix’ means first choice, or top quality)</x:v>
      </x:c>
      <x:c r="C105" s="21" t="str">
        <x:v>Gourmino</x:v>
      </x:c>
      <x:c r="D105" s="21" t="str">
        <x:v>Not provided by creamery</x:v>
      </x:c>
      <x:c r="E105" s="21" t="str">
        <x:v>Gruyere</x:v>
      </x:c>
      <x:c r="F105" s="21" t="str">
        <x:v>Switzerland</x:v>
      </x:c>
      <x:c r="G105" s="21" t="str">
        <x:v>Raw Cow</x:v>
      </x:c>
      <x:c r="H105" s="21" t="str">
        <x:v>Animal</x:v>
      </x:c>
      <x:c r="I105" s="21" t="str">
        <x:v>Alpine, Cooked/pressed, Smear-ripened</x:v>
      </x:c>
      <x:c r="J105" s="21" t="str">
        <x:v>12 months</x:v>
      </x:c>
      <x:c r="K105" s="22" t="str">
        <x:v>Complex, fruity, floral, herbaceous, meaty, nutty, etc. Meltable.</x:v>
      </x:c>
      <x:c r="L105" s="22" t="str">
        <x:v>Le Gruyère AOP, the unique cheese from the French-speaking part of Switzerland, tastes of delicate mountain flowers and wonderful alpine herbs that are typical for the region. Its history goes back to the year 1115: Already then, the milk from the picturesque villages of the Gruyère region was processed by the local cheesemakers into a remarkable product with a strong character. Won Best in Show at the World Cheese Awards in 2022</x:v>
      </x:c>
      <x:c r="M105" s="22" t="str">
        <x:v>Chasselas, German Pinot Noir, Dry Riesling, German-style ales, Kirsch, Black cherry soda, plowman’s board fare, brasaola, grapes, pears and apples, Quince</x:v>
      </x:c>
      <x:c r="N105" s="22" t="str">
        <x:v>Alpine Spec Sheets.docx</x:v>
      </x:c>
      <x:c r="O105" s="22" t="str">
        <x:v>Alpine</x:v>
      </x:c>
      <x:c r="P105" s="22" t="str"/>
      <x:c r="Q105" s="21" t="str">
        <x:f>IF(P105="","Ready","Needs review")</x:f>
        <x:v>Ready</x:v>
      </x:c>
      <x:c r="R105" s="22" t="str">
        <x:v>Gruyere, Switzerland</x:v>
      </x:c>
      <x:c r="S105" s="21" t="str">
        <x:f>IF(COUNTIF($A$6:$A$120,A105)&gt;1,"Duplicate","Unique")</x:f>
        <x:v>Unique</x:v>
      </x:c>
    </x:row>
    <x:row r="106">
      <x:c r="A106" s="21" t="str">
        <x:v>hornbacher</x:v>
      </x:c>
      <x:c r="B106" s="21" t="str">
        <x:v>Hornbacher</x:v>
      </x:c>
      <x:c r="C106" s="21" t="str">
        <x:v>Michael Spycher</x:v>
      </x:c>
      <x:c r="D106" s="21" t="str">
        <x:v>Not provided by creamery</x:v>
      </x:c>
      <x:c r="E106" s="21" t="str">
        <x:v>Wasen</x:v>
      </x:c>
      <x:c r="F106" s="21" t="str">
        <x:v>Switzerland</x:v>
      </x:c>
      <x:c r="G106" s="21" t="str">
        <x:v>Raw Cow</x:v>
      </x:c>
      <x:c r="H106" s="21" t="str">
        <x:v>Animal</x:v>
      </x:c>
      <x:c r="I106" s="21" t="str">
        <x:v>Alpine, cooked/pressed</x:v>
      </x:c>
      <x:c r="J106" s="21" t="str">
        <x:v>12 months</x:v>
      </x:c>
      <x:c r="K106" s="22" t="str">
        <x:v>Baked potato, scallions, roasted nuts, burnt sugar, umami</x:v>
      </x:c>
      <x:c r="L106" s="22" t="str">
        <x:v>Michu, as Michael Spycher is called by his friends, has been producing the Hornbacher for 25 years. The cheese got its name from the small river that flows through right next to the dairy. Until 2014 Michu and his wife Monika sold the specialty only in their cheese shop. With growing popularity, the two decide to produce more of the Hornbacher to meet local and export market demands.</x:v>
      </x:c>
      <x:c r="M106" s="22" t="str">
        <x:v>Malty brew, Herbal red wines, Root beer, Drip coffee, pickled onions, tart jam, onion jam, olives, cured, fatty meats</x:v>
      </x:c>
      <x:c r="N106" s="22" t="str">
        <x:v>Alpine Spec Sheets.docx</x:v>
      </x:c>
      <x:c r="O106" s="22" t="str">
        <x:v>Alpine</x:v>
      </x:c>
      <x:c r="P106" s="22" t="str"/>
      <x:c r="Q106" s="21" t="str">
        <x:f>IF(P106="","Ready","Needs review")</x:f>
        <x:v>Ready</x:v>
      </x:c>
      <x:c r="R106" s="22" t="str">
        <x:v>Wasen, Switzerland</x:v>
      </x:c>
      <x:c r="S106" s="21" t="str">
        <x:f>IF(COUNTIF($A$6:$A$120,A106)&gt;1,"Duplicate","Unique")</x:f>
        <x:v>Unique</x:v>
      </x:c>
    </x:row>
    <x:row r="107">
      <x:c r="A107" s="21" t="str">
        <x:v>le-cousin</x:v>
      </x:c>
      <x:c r="B107" s="21" t="str">
        <x:v>Le Cousin</x:v>
      </x:c>
      <x:c r="C107" s="21" t="str">
        <x:v>Schmidthauser (family-run)</x:v>
      </x:c>
      <x:c r="D107" s="21" t="str">
        <x:v>Made in Thurgau</x:v>
      </x:c>
      <x:c r="E107" s="21" t="str">
        <x:v>; aged in Haute-Savoie</x:v>
      </x:c>
      <x:c r="F107" s="21" t="str">
        <x:v>France</x:v>
      </x:c>
      <x:c r="G107" s="21" t="str">
        <x:v>Raw Cow’s Milk</x:v>
      </x:c>
      <x:c r="H107" s="21" t="str">
        <x:v>Animal Rennet</x:v>
      </x:c>
      <x:c r="I107" s="21" t="str">
        <x:v>Cooked, pressed semi-hard (Alpine-style, smear-rind)</x:v>
      </x:c>
      <x:c r="J107" s="21" t="str">
        <x:v>6 Months</x:v>
      </x:c>
      <x:c r="K107" s="22" t="str">
        <x:v>Toasted butter, nutty, and gently fruity with a sweet-salty tang. Hints of pasture, grass, and hay. Mildly funky for a smear rind, with a creamy, semi-firm paste that has a little give.</x:v>
      </x:c>
      <x:c r="L107" s="22" t="str">
        <x:v>A true border-crossing alpine cheese. Le Cousin is made in Switzerland by a member of the Schmidthauser family, then transported to France where another branch of the family ages it in their cellars in Haute-Savoie. That Swiss-French handoff is the whole identity of the cheese. It sits on the milder side of the alpine smear-rind spectrum, closer to Gruyère and Comté than anything aggressively funky. The rind develops a beautiful pink-orange hue and is absolutely worth eating.</x:v>
      </x:c>
      <x:c r="M107" s="22" t="str">
        <x:v>white wine, light red, cornichons, crusty bread, caramelized onions</x:v>
      </x:c>
      <x:c r="N107" s="22" t="str">
        <x:v>Alpine Spec Sheets.docx</x:v>
      </x:c>
      <x:c r="O107" s="22" t="str">
        <x:v>Alpine</x:v>
      </x:c>
      <x:c r="P107" s="22" t="str"/>
      <x:c r="Q107" s="21" t="str">
        <x:f>IF(P107="","Ready","Needs review")</x:f>
        <x:v>Ready</x:v>
      </x:c>
      <x:c r="R107" s="22" t="str">
        <x:v>Made in Thurgau, Switzerland; aged in Haute-Savoie, France</x:v>
      </x:c>
      <x:c r="S107" s="21" t="str">
        <x:f>IF(COUNTIF($A$6:$A$120,A107)&gt;1,"Duplicate","Unique")</x:f>
        <x:v>Unique</x:v>
      </x:c>
    </x:row>
    <x:row r="108">
      <x:c r="A108" s="21" t="str">
        <x:v>l-etivaz</x:v>
      </x:c>
      <x:c r="B108" s="21" t="str">
        <x:v>L’Etivaz</x:v>
      </x:c>
      <x:c r="C108" s="21" t="str">
        <x:v>L’Etivaz Cooperative–Gourmino</x:v>
      </x:c>
      <x:c r="D108" s="21" t="str">
        <x:v>Not provided by creamery</x:v>
      </x:c>
      <x:c r="E108" s="21" t="str">
        <x:v>Vaud Alps</x:v>
      </x:c>
      <x:c r="F108" s="21" t="str">
        <x:v>Switzerland</x:v>
      </x:c>
      <x:c r="G108" s="21" t="str">
        <x:v>Raw Cow</x:v>
      </x:c>
      <x:c r="H108" s="21" t="str">
        <x:v>Animal</x:v>
      </x:c>
      <x:c r="I108" s="21" t="str">
        <x:v>Alpine</x:v>
      </x:c>
      <x:c r="J108" s="21" t="str">
        <x:v>15-24 months</x:v>
      </x:c>
      <x:c r="K108" s="22" t="str">
        <x:v>Alliums, toasted nuts, purple flowers, broth, and much more</x:v>
      </x:c>
      <x:c r="L108" s="22" t="str">
        <x:v>L’Etivaz AOP is a hard Alpine cheese made by hand from 10 May to 10 October, with raw milk, fresh from the farm. 3,000 cows graze in about 130 Alpine pastures located at altitudes of 1,000 to 2,000 metres, supplying each day rich, floral milk that is heated exclusively over wood fires in copper cauldrons. The ripening process brings out the rich, powerful aromas that come from the wide variety of grasses eaten by the cows. The Rosat family tends to 45 cows during the summer on the Antheines Alp. They rotate productions between 3 huts at different altitudes. When the temperatures are still cool in spring or autumn and the upper alpine meadows are still snow-covered, the cows live on the two lower-lying Alps. This allows the cows to eat fresh grass throughout the summer and to enjoy the rich alpine flora. After the curds are cut, they are heated exclusively in copper kettles over a wood fire. Due to the long maturing process, the intense, strong aromas of the alpine herbs eaten by the cows unfold perfectly in the cheese. Every year in autumn, Gourmino visits the cellars of the L’Etivaz AOP Cooperative to taste the cheeses from last summer. We select the best cheeses for our customers, paying attention to a typical, balanced taste profile and consistency in quality. The selected cheeses are then taken to the cellars of the Gourmino, where they are ready for delivery.</x:v>
      </x:c>
      <x:c r="M108" s="22" t="str">
        <x:v>Herbaceous wines, suds, root beer, cured meats, use for fondue, dried cherries, pears</x:v>
      </x:c>
      <x:c r="N108" s="22" t="str">
        <x:v>Alpine Spec Sheets.docx</x:v>
      </x:c>
      <x:c r="O108" s="22" t="str">
        <x:v>Alpine</x:v>
      </x:c>
      <x:c r="P108" s="22" t="str"/>
      <x:c r="Q108" s="21" t="str">
        <x:f>IF(P108="","Ready","Needs review")</x:f>
        <x:v>Ready</x:v>
      </x:c>
      <x:c r="R108" s="22" t="str">
        <x:v>Vaud Alps, Switzerland</x:v>
      </x:c>
      <x:c r="S108" s="21" t="str">
        <x:f>IF(COUNTIF($A$6:$A$120,A108)&gt;1,"Duplicate","Unique")</x:f>
        <x:v>Unique</x:v>
      </x:c>
    </x:row>
    <x:row r="109">
      <x:c r="A109" s="21" t="str">
        <x:v>mountaineer</x:v>
      </x:c>
      <x:c r="B109" s="21" t="str">
        <x:v>Mountaineer</x:v>
      </x:c>
      <x:c r="C109" s="21" t="str">
        <x:v>Meadow Creek Dairy</x:v>
      </x:c>
      <x:c r="D109" s="21" t="str">
        <x:v>Galax</x:v>
      </x:c>
      <x:c r="E109" s="21" t="str">
        <x:v>VA</x:v>
      </x:c>
      <x:c r="F109" s="21" t="str">
        <x:v>USA</x:v>
      </x:c>
      <x:c r="G109" s="21" t="str">
        <x:v>Raw Cow’s Milk</x:v>
      </x:c>
      <x:c r="H109" s="21" t="str">
        <x:v>Animal Rennet</x:v>
      </x:c>
      <x:c r="I109" s="21" t="str">
        <x:v>Alpine style; Washed Rind</x:v>
      </x:c>
      <x:c r="J109" s="21" t="str">
        <x:v>6-9 Months</x:v>
      </x:c>
      <x:c r="K109" s="22" t="str">
        <x:v>Roasted nuts, toasted bread, beef broth, caramel, browned butter, subtle citrus, savory alpine funk. Texture is semi-hard, supple, ‘melt in your mouth’</x:v>
      </x:c>
      <x:c r="L109" s="22" t="str">
        <x:v>Made high in Virginia’s Blue Ridge Mountains from Meadow Creek’s own Jersey herd, Mountaineer is an Appalachian take on classic alpine cheeses like Comté and Raclette. Aged for at least six months, it develops a rich, savory depth with a supple, melt-in-the-mouth texture. Though it falls into the washed rind family, the funk stays balanced by buttery sweetness, roasted nuts, and a warm brothy finish. Mountaineer melts beautifully like Raclette while carrying the deeper caramelized complexity of longer-aged alpine cheeses. Its aroma opens with toasted bread and parmesan-like notes before becoming more floral and fruity as it warms.</x:v>
      </x:c>
      <x:c r="M109" s="22" t="str">
        <x:v>Fruit lambic, sour cherry preserves, saison, caramelized onions, dry cider</x:v>
      </x:c>
      <x:c r="N109" s="22" t="str">
        <x:v>Alpine Spec Sheets.docx</x:v>
      </x:c>
      <x:c r="O109" s="22" t="str">
        <x:v>Alpine</x:v>
      </x:c>
      <x:c r="P109" s="22" t="str"/>
      <x:c r="Q109" s="21" t="str">
        <x:f>IF(P109="","Ready","Needs review")</x:f>
        <x:v>Ready</x:v>
      </x:c>
      <x:c r="R109" s="22" t="str">
        <x:v>Galax, VA</x:v>
      </x:c>
      <x:c r="S109" s="21" t="str">
        <x:f>IF(COUNTIF($A$6:$A$120,A109)&gt;1,"Duplicate","Unique")</x:f>
        <x:v>Unique</x:v>
      </x:c>
    </x:row>
    <x:row r="110">
      <x:c r="A110" s="21" t="str">
        <x:v>pleasant-ridge-reserve</x:v>
      </x:c>
      <x:c r="B110" s="21" t="str">
        <x:v>Pleasant Ridge Reserve</x:v>
      </x:c>
      <x:c r="C110" s="21" t="str">
        <x:v>Uplands Cheese</x:v>
      </x:c>
      <x:c r="D110" s="21" t="str">
        <x:v>Dodgeville</x:v>
      </x:c>
      <x:c r="E110" s="21" t="str">
        <x:v>Wisconsin</x:v>
      </x:c>
      <x:c r="F110" s="21" t="str">
        <x:v>USA</x:v>
      </x:c>
      <x:c r="G110" s="21" t="str">
        <x:v>Raw Cow</x:v>
      </x:c>
      <x:c r="H110" s="21" t="str">
        <x:v>Animal</x:v>
      </x:c>
      <x:c r="I110" s="21" t="str">
        <x:v>Alpine-style, cooked/pressed, smear-ripened</x:v>
      </x:c>
      <x:c r="J110" s="21" t="str">
        <x:v>Each batch develops at their own pace, but PRR is aged less than a year. Extra aged version is aged for a year plus.</x:v>
      </x:c>
      <x:c r="K110" s="22" t="str">
        <x:v>Complex, pastoral, nutty, floral–varies from batch to batch</x:v>
      </x:c>
      <x:c r="L110" s="22" t="str">
        <x:v>Pleasant Ridge is the most-awarded cheese in American history, having won Best of Show in the American Cheese Society’s annual competition three times (2001, 2005 and 2010), and having also won the US Cheese Championships in 2003. It is the only cheese to have won ACS Best of Show three times, and the only cheese to have ever won both of the major, national cheese competitions. Named after the land formation on which our farm sits, Pleasant Ridge Reserve is made in the tradition of Alpine cheeses like Gruyere and Beaufort. Like the Alpage versions of these cheeses, we only make Pleasant Ridge Reserve from May through October when our cows are eating fresh pasture. This grass-fed, raw milk produces flavors in the cheese that can’t be replicated by “ordinary” milk. In mid-summer, when the cows are at the peak of their production, a batch of cheese may yield up to 78, 10-lb wheels a day. Because we’re very particular about using milk from only the best pasture conditions, the weather largely determines how many batches we can make in a year. When the pasture conditions aren’t ideal, we sell the milk. Some years we’re able to make more cheese than other years. This may seem like a luxury, but using only the ideal milk is the most important way we ensure the quality of our cheese.</x:v>
      </x:c>
      <x:c r="M110" s="22" t="str">
        <x:v>Cherry jam, Effie’s Cocoa Cakes, Cider, Sour Ale, capers</x:v>
      </x:c>
      <x:c r="N110" s="22" t="str">
        <x:v>Alpine Spec Sheets.docx</x:v>
      </x:c>
      <x:c r="O110" s="22" t="str">
        <x:v>Alpine</x:v>
      </x:c>
      <x:c r="P110" s="22" t="str"/>
      <x:c r="Q110" s="21" t="str">
        <x:f>IF(P110="","Ready","Needs review")</x:f>
        <x:v>Ready</x:v>
      </x:c>
      <x:c r="R110" s="22" t="str">
        <x:v>Dodgeville, Wisconsin</x:v>
      </x:c>
      <x:c r="S110" s="21" t="str">
        <x:f>IF(COUNTIF($A$6:$A$120,A110)&gt;1,"Duplicate","Unique")</x:f>
        <x:v>Unique</x:v>
      </x:c>
    </x:row>
    <x:row r="111">
      <x:c r="A111" s="21" t="str">
        <x:v>raclette-livradois-pronounced-leev-wa-dwa</x:v>
      </x:c>
      <x:c r="B111" s="21" t="str">
        <x:v>Raclette Livradois (pronounced leev-wa-dwa)</x:v>
      </x:c>
      <x:c r="C111" s="21" t="str">
        <x:v>Livradois</x:v>
      </x:c>
      <x:c r="D111" s="21" t="str">
        <x:v>Not provided by creamery</x:v>
      </x:c>
      <x:c r="E111" s="21" t="str">
        <x:v>Savoie</x:v>
      </x:c>
      <x:c r="F111" s="21" t="str">
        <x:v>France</x:v>
      </x:c>
      <x:c r="G111" s="21" t="str">
        <x:v>Thermized Cow</x:v>
      </x:c>
      <x:c r="H111" s="21" t="str">
        <x:v>Microbial</x:v>
      </x:c>
      <x:c r="I111" s="21" t="str">
        <x:v>Raclette, washed rind, uncooked/pressed</x:v>
      </x:c>
      <x:c r="J111" s="21" t="str">
        <x:v>5 months</x:v>
      </x:c>
      <x:c r="K111" s="22" t="str">
        <x:v>Clean, fruity, alliums, meltable</x:v>
      </x:c>
      <x:c r="L111" s="22" t="str">
        <x:v>Livradois is an independant family business since 3 generations. Product made from local cow’s milk in the middle of the regional natural park of Livradois. Soft and melting paste with fruity taste. One of the last producers to offer unpasteurized Raclette Known as principal ingredient at the time of the Raclette</x:v>
      </x:c>
      <x:c r="M111" s="22" t="str">
        <x:v>Kirsch, cherry juice, lingonberry jam, Dr. Pepper, ham, pickles, olives, mustard, potatoes, bread. Great al fresco on a plowman’s board.</x:v>
      </x:c>
      <x:c r="N111" s="22" t="str">
        <x:v>Alpine Spec Sheets.docx</x:v>
      </x:c>
      <x:c r="O111" s="22" t="str">
        <x:v>Alpine</x:v>
      </x:c>
      <x:c r="P111" s="22" t="str"/>
      <x:c r="Q111" s="21" t="str">
        <x:f>IF(P111="","Ready","Needs review")</x:f>
        <x:v>Ready</x:v>
      </x:c>
      <x:c r="R111" s="22" t="str">
        <x:v>Savoie, France</x:v>
      </x:c>
      <x:c r="S111" s="21" t="str">
        <x:f>IF(COUNTIF($A$6:$A$120,A111)&gt;1,"Duplicate","Unique")</x:f>
        <x:v>Unique</x:v>
      </x:c>
    </x:row>
    <x:row r="112">
      <x:c r="A112" s="21" t="str">
        <x:v>raclette-livradois-with-ramps</x:v>
      </x:c>
      <x:c r="B112" s="21" t="str">
        <x:v>Raclette Livradois with Ramps</x:v>
      </x:c>
      <x:c r="C112" s="21" t="str">
        <x:v>Livradois</x:v>
      </x:c>
      <x:c r="D112" s="21" t="str">
        <x:v>Not provided by creamery</x:v>
      </x:c>
      <x:c r="E112" s="21" t="str">
        <x:v>Savoie</x:v>
      </x:c>
      <x:c r="F112" s="21" t="str">
        <x:v>France</x:v>
      </x:c>
      <x:c r="G112" s="21" t="str">
        <x:v>Thermized cow</x:v>
      </x:c>
      <x:c r="H112" s="21" t="str">
        <x:v>Microbial</x:v>
      </x:c>
      <x:c r="I112" s="21" t="str">
        <x:v>Alpine, washed rind, uncooked, pressed</x:v>
      </x:c>
      <x:c r="J112" s="21" t="str">
        <x:v>5 months</x:v>
      </x:c>
      <x:c r="K112" s="22" t="str">
        <x:v>Alliums, umami, meltable, amicable</x:v>
      </x:c>
      <x:c r="L112" s="22" t="str">
        <x:v>Livradois is an independant family business since 3 generations. Product made from local cow’s milk in the middle of the regional natural park of Livradois. Soft and melting paste with fruity taste. One of the last producers to offer unpasteurized Raclette Known as principal ingredient at the time of the Raclette</x:v>
      </x:c>
      <x:c r="M112" s="22" t="str">
        <x:v>Raclette accoutrement, blonde ale, gose, cola, herbal tea</x:v>
      </x:c>
      <x:c r="N112" s="22" t="str">
        <x:v>Alpine Spec Sheets.docx</x:v>
      </x:c>
      <x:c r="O112" s="22" t="str">
        <x:v>Alpine</x:v>
      </x:c>
      <x:c r="P112" s="22" t="str"/>
      <x:c r="Q112" s="21" t="str">
        <x:f>IF(P112="","Ready","Needs review")</x:f>
        <x:v>Ready</x:v>
      </x:c>
      <x:c r="R112" s="22" t="str">
        <x:v>Savoie, France</x:v>
      </x:c>
      <x:c r="S112" s="21" t="str">
        <x:f>IF(COUNTIF($A$6:$A$120,A112)&gt;1,"Duplicate","Unique")</x:f>
        <x:v>Unique</x:v>
      </x:c>
    </x:row>
    <x:row r="113">
      <x:c r="A113" s="21" t="str">
        <x:v>raclette-de-savoie</x:v>
      </x:c>
      <x:c r="B113" s="21" t="str">
        <x:v>Raclette de Savoie</x:v>
      </x:c>
      <x:c r="C113" s="21" t="str">
        <x:v>Schmidhauser</x:v>
      </x:c>
      <x:c r="D113" s="21" t="str">
        <x:v>Not provided by creamery</x:v>
      </x:c>
      <x:c r="E113" s="21" t="str">
        <x:v>Savoie/Haute Savoie</x:v>
      </x:c>
      <x:c r="F113" s="21" t="str">
        <x:v>France</x:v>
      </x:c>
      <x:c r="G113" s="21" t="str">
        <x:v>Raw Cow</x:v>
      </x:c>
      <x:c r="H113" s="21" t="str">
        <x:v>Animal</x:v>
      </x:c>
      <x:c r="I113" s="21" t="str">
        <x:v>Washed Rind, Uncooked, pressed</x:v>
      </x:c>
      <x:c r="J113" s="21" t="str">
        <x:v>3 months minimum</x:v>
      </x:c>
      <x:c r="K113" s="22" t="str">
        <x:v>Fruity, complex, toasted hazelnuts, savory, and more. Highly meltable.</x:v>
      </x:c>
      <x:c r="L113" s="22" t="str">
        <x:v>With a generational family history in affinage starting in Switzerland (the German speaking part, obvi), Schmidhauser sources high quality milk from small farms and utilizes traditional practices.</x:v>
      </x:c>
      <x:c r="M113" s="22" t="str">
        <x:v>Kirsch, cherry juice, pomegranate arils, raclette accoutrement</x:v>
      </x:c>
      <x:c r="N113" s="22" t="str">
        <x:v>Alpine Spec Sheets.docx</x:v>
      </x:c>
      <x:c r="O113" s="22" t="str">
        <x:v>Alpine</x:v>
      </x:c>
      <x:c r="P113" s="22" t="str"/>
      <x:c r="Q113" s="21" t="str">
        <x:f>IF(P113="","Ready","Needs review")</x:f>
        <x:v>Ready</x:v>
      </x:c>
      <x:c r="R113" s="22" t="str">
        <x:v>Savoie/Haute Savoie</x:v>
      </x:c>
      <x:c r="S113" s="21" t="str">
        <x:f>IF(COUNTIF($A$6:$A$120,A113)&gt;1,"Duplicate","Unique")</x:f>
        <x:v>Unique</x:v>
      </x:c>
    </x:row>
    <x:row r="114">
      <x:c r="A114" s="21" t="str">
        <x:v>rahmtaler-reserve</x:v>
      </x:c>
      <x:c r="B114" s="21" t="str">
        <x:v>Rahmtaler Reserve</x:v>
      </x:c>
      <x:c r="C114" s="21" t="str">
        <x:v>exclusively made by Gourmino</x:v>
      </x:c>
      <x:c r="D114" s="21" t="str">
        <x:v>Not provided by creamery</x:v>
      </x:c>
      <x:c r="E114" s="21" t="str">
        <x:v>Langnau</x:v>
      </x:c>
      <x:c r="F114" s="21" t="str">
        <x:v>Switzerland</x:v>
      </x:c>
      <x:c r="G114" s="21" t="str">
        <x:v>full fat, raw cow’s milk</x:v>
      </x:c>
      <x:c r="H114" s="21" t="str">
        <x:v>traditional</x:v>
      </x:c>
      <x:c r="I114" s="21" t="str">
        <x:v>cooked pressed, alpine</x:v>
      </x:c>
      <x:c r="J114" s="21" t="str">
        <x:v>10+ months</x:v>
      </x:c>
      <x:c r="K114" s="22" t="str">
        <x:v>Cashews, Cooked Milk, Plantains, Citrus Fruits</x:v>
      </x:c>
      <x:c r="L114" s="22" t="str">
        <x:v>Rahmtaler is basically actually the original Emmentaler. The original recipe for Emmentaler, from the 16th century, called for full fat milk. In the 20th century it fell off and became produced with skimmed milk. In 2016 Gourmino bought the exclusive rights to the original recipe and became the only ones available to produce this original, which they now call Rahmtaler. The reserve wheels are hand-selected and brought to the caves at Reichenbach to mature fully</x:v>
      </x:c>
      <x:c r="M114" s="22" t="str">
        <x:v>sourdough bread for a grilled cheese, all beef hot dogs, Chardonnay, Champagne, Chasselass, dijon mustard, sauerkraut, rye bread, hazelnuts</x:v>
      </x:c>
      <x:c r="N114" s="22" t="str">
        <x:v>Alpine Spec Sheets.docx</x:v>
      </x:c>
      <x:c r="O114" s="22" t="str">
        <x:v>Alpine</x:v>
      </x:c>
      <x:c r="P114" s="22" t="str"/>
      <x:c r="Q114" s="21" t="str">
        <x:f>IF(P114="","Ready","Needs review")</x:f>
        <x:v>Ready</x:v>
      </x:c>
      <x:c r="R114" s="22" t="str">
        <x:v>Langnau, Switzerland</x:v>
      </x:c>
      <x:c r="S114" s="21" t="str">
        <x:f>IF(COUNTIF($A$6:$A$120,A114)&gt;1,"Duplicate","Unique")</x:f>
        <x:v>Unique</x:v>
      </x:c>
    </x:row>
    <x:row r="115">
      <x:c r="A115" s="21" t="str">
        <x:v>rupert</x:v>
      </x:c>
      <x:c r="B115" s="21" t="str">
        <x:v>Rupert</x:v>
      </x:c>
      <x:c r="C115" s="21" t="str">
        <x:v>Woodlawn Creamery ( but was previously made by Consider Bardwell which closed, Woodlawn supplied all the milk for this cheese so it was a natural transition)</x:v>
      </x:c>
      <x:c r="D115" s="21" t="str">
        <x:v>Pawlet</x:v>
      </x:c>
      <x:c r="E115" s="21" t="str">
        <x:v>VT</x:v>
      </x:c>
      <x:c r="F115" s="21" t="str">
        <x:v>USA</x:v>
      </x:c>
      <x:c r="G115" s="21" t="str">
        <x:v>raw, cow</x:v>
      </x:c>
      <x:c r="H115" s="21" t="str">
        <x:v>traditional</x:v>
      </x:c>
      <x:c r="I115" s="21" t="str">
        <x:v>alpine style</x:v>
      </x:c>
      <x:c r="J115" s="21" t="str">
        <x:v>6 - 12 months</x:v>
      </x:c>
      <x:c r="K115" s="22" t="str">
        <x:v>Fruity, Butterscotch, Yeasty</x:v>
      </x:c>
      <x:c r="L115" s="22" t="str">
        <x:v>A young alpine-style cheese with a butterscotch, yeasted biscuit flavor profile. Woodlawn Creamery has always been a part of Rupert’s story. Following Consider Bardwell’s 2024 closure, seventh generation dairy farmer Seth Leach, and his wife Kate, along with veteran cheesemaker Leslie Goff Tyminski (who had been the cheesemaker at Consider Bardwell until 2019), are making updated versions of Consider Bardwell's legendary cheeses. Rupert is named for one of the oldest towns in Vermont. I always say this cheese was brought back from near extinction!</x:v>
      </x:c>
      <x:c r="M115" s="22" t="str">
        <x:v>perfect for melting, great mac and cheese base! It’s also a great pairing for bourbon drinks, dried cherries, cornichons</x:v>
      </x:c>
      <x:c r="N115" s="22" t="str">
        <x:v>Alpine Spec Sheets.docx</x:v>
      </x:c>
      <x:c r="O115" s="22" t="str">
        <x:v>Alpine</x:v>
      </x:c>
      <x:c r="P115" s="22" t="str"/>
      <x:c r="Q115" s="21" t="str">
        <x:f>IF(P115="","Ready","Needs review")</x:f>
        <x:v>Ready</x:v>
      </x:c>
      <x:c r="R115" s="22" t="str">
        <x:v>Pawlet, VT</x:v>
      </x:c>
      <x:c r="S115" s="21" t="str">
        <x:f>IF(COUNTIF($A$6:$A$120,A115)&gt;1,"Duplicate","Unique")</x:f>
        <x:v>Unique</x:v>
      </x:c>
    </x:row>
    <x:row r="116">
      <x:c r="A116" s="21" t="str">
        <x:v>silver-lake</x:v>
      </x:c>
      <x:c r="B116" s="21" t="str">
        <x:v>Silver Lake</x:v>
      </x:c>
      <x:c r="C116" s="21" t="str">
        <x:v>East Hill Creamery</x:v>
      </x:c>
      <x:c r="D116" s="21" t="str">
        <x:v>Perry</x:v>
      </x:c>
      <x:c r="E116" s="21" t="str">
        <x:v>NY</x:v>
      </x:c>
      <x:c r="F116" s="21" t="str">
        <x:v>USA</x:v>
      </x:c>
      <x:c r="G116" s="21" t="str">
        <x:v>Raw Cow’s Milk, Grassfed</x:v>
      </x:c>
      <x:c r="H116" s="21" t="str">
        <x:v>Animal Rennet</x:v>
      </x:c>
      <x:c r="I116" s="21" t="str">
        <x:v>alpine style, cook pressed</x:v>
      </x:c>
      <x:c r="J116" s="21" t="str">
        <x:v>Minimum 1 year</x:v>
      </x:c>
      <x:c r="K116" s="22" t="str">
        <x:v>Sweet, nutty, and savory with a deep umami finish. Firm texture with a smooth, slightly dense paste. Think toasted nuts, browned butter, and that classic French onion soup vibe.</x:v>
      </x:c>
      <x:c r="L116" s="22" t="str">
        <x:v>A New York take on classic Alpine cheeses like Comté and Gruyère. Made in large-format wheels and aged on wood boards for at least a year, this cheese leans into that sweet-savory balance with a big umami punch. It’s a local favorite for a reason and consistently wins awards at the New York State Fair.</x:v>
      </x:c>
      <x:c r="M116" s="22" t="str">
        <x:v>Sauvignon Blanc, sour cherry, roasted potatoes</x:v>
      </x:c>
      <x:c r="N116" s="22" t="str">
        <x:v>Alpine Spec Sheets.docx</x:v>
      </x:c>
      <x:c r="O116" s="22" t="str">
        <x:v>Alpine</x:v>
      </x:c>
      <x:c r="P116" s="22" t="str"/>
      <x:c r="Q116" s="21" t="str">
        <x:f>IF(P116="","Ready","Needs review")</x:f>
        <x:v>Ready</x:v>
      </x:c>
      <x:c r="R116" s="22" t="str">
        <x:v>Perry, NY</x:v>
      </x:c>
      <x:c r="S116" s="21" t="str">
        <x:f>IF(COUNTIF($A$6:$A$120,A116)&gt;1,"Duplicate","Unique")</x:f>
        <x:v>Unique</x:v>
      </x:c>
    </x:row>
    <x:row r="117">
      <x:c r="A117" s="21" t="str">
        <x:v>almn-s-tegel</x:v>
      </x:c>
      <x:c r="B117" s="21" t="str">
        <x:v>Almnäs Tegel</x:v>
      </x:c>
      <x:c r="C117" s="21" t="str">
        <x:v>Almnäs Bruk</x:v>
      </x:c>
      <x:c r="D117" s="21" t="str"/>
      <x:c r="E117" s="21" t="str"/>
      <x:c r="F117" s="21" t="str">
        <x:v>Sweden</x:v>
      </x:c>
      <x:c r="G117" s="21" t="str">
        <x:v>Raw Cow</x:v>
      </x:c>
      <x:c r="H117" s="21" t="str">
        <x:v>Animal</x:v>
      </x:c>
      <x:c r="I117" s="21" t="str">
        <x:v>Cooked/pressed, Smear-ripened, Scalded Curds!</x:v>
      </x:c>
      <x:c r="J117" s="21" t="str">
        <x:v>16-22 months</x:v>
      </x:c>
      <x:c r="K117" s="22" t="str">
        <x:v>Roasty-toasty, peanutty, clean, approachable, substantial chew</x:v>
      </x:c>
      <x:c r="L117" s="22" t="str">
        <x:v>Almnäs Brick (Almnäs Tegel) is a hard-pressed “scalded” cheese, its square shape inspired by the handmade bricks manufactured by the Almnäs brick factory from the 1750’s onwards. On the rind, you can see the imprint of a small child’s foot, a historical reference to real footprints found in the brick floor in the attic of the manor house. Hundreds of years ago as the bricks dried in the sun, the farm workers’ children ran over them, leaving their footprints. Since then, a child’s footprint has been imprinted on every clay brick manufactured at Almnas. Brick production ended in 1976, but we continue the tradition today: the same logo is imprinted in the rind of every Almnäs Brick cheese. Each cheese weighs between 20 and 23 kilograms (57 and 59 pounds) and measures 52 x 45 centimeters (20 by 18 inches). The rind is a rustic, brick red, achieved by washing the cheese in salt water. This process benefits a bacterial culture called Brevibacterium linens, which provides the reddish colour. The cut surface of the cheese is smooth, showing occasional small holes and cracks. The cheese colour ranges from ivory to straw, depending on the season. Almnäs Brick has a sweet, fruity aroma, reminiscent of butterscotch. The rind sometimes smells of orange or pineapple. The taste is fruity, with a slightly granular mouth-feel. We store the Almnäs Brick between 16 and 22 months. Scalded cheeses are unusual in traditional Swedish cheese making. At the end of the cheese-making process, we scald the curds by increasing the temperature to more than 50 degrees Celsius (122 degrees Fahrenheit). This gives the cheese a caramelized effect and promotes the Thermophile bacteria, which is also found in yogurt. Parmesan and many of the big cheeses from the Swiss Alps, such as Gruyere, are produced according to this method. At The World Cheese Awards 2018 held in Bergen, Norway, there were 3472 cheeses from 41 countries ans Almnäs Tegel ended up at 4:th place and recived a Supergold. World Cheese Awards 2019, the judges gave Almnäs Tegel a Gold. Held at Bergamo, Italy.</x:v>
      </x:c>
      <x:c r="M117" s="22" t="str">
        <x:v>Malty beer, Red Burgundy, Ale (in a tankard), Mead, Birch Beer, dried fruit</x:v>
      </x:c>
      <x:c r="N117" s="22" t="str">
        <x:v>Alpine Spec Sheets.docx</x:v>
      </x:c>
      <x:c r="O117" s="22" t="str">
        <x:v>Alpine</x:v>
      </x:c>
      <x:c r="P117" s="22" t="str"/>
      <x:c r="Q117" s="21" t="str">
        <x:f>IF(P117="","Ready","Needs review")</x:f>
        <x:v>Ready</x:v>
      </x:c>
      <x:c r="R117" s="22" t="str">
        <x:v>Sweden</x:v>
      </x:c>
      <x:c r="S117" s="21" t="str">
        <x:f>IF(COUNTIF($A$6:$A$120,A117)&gt;1,"Duplicate","Unique")</x:f>
        <x:v>Unique</x:v>
      </x:c>
    </x:row>
    <x:row r="118">
      <x:c r="A118" s="21" t="str">
        <x:v>t-te-de-moine</x:v>
      </x:c>
      <x:c r="B118" s="21" t="str">
        <x:v>Tête de Moine</x:v>
      </x:c>
      <x:c r="C118" s="21" t="str">
        <x:v>AOP-regulated (multiple producers; specific dairy ID varies by wheel)</x:v>
      </x:c>
      <x:c r="D118" s="21" t="str">
        <x:v>Bellelay</x:v>
      </x:c>
      <x:c r="E118" s="21" t="str">
        <x:v>Jura Mountains</x:v>
      </x:c>
      <x:c r="F118" s="21" t="str">
        <x:v>Switzerland</x:v>
      </x:c>
      <x:c r="G118" s="21" t="str">
        <x:v>Raw Cow’s Milk</x:v>
      </x:c>
      <x:c r="H118" s="21" t="str">
        <x:v>Animal Rennet</x:v>
      </x:c>
      <x:c r="I118" s="21" t="str">
        <x:v>washed rind, semi-hard alpine</x:v>
      </x:c>
      <x:c r="J118" s="21" t="str">
        <x:v>~2-6 Months</x:v>
      </x:c>
      <x:c r="K118" s="22" t="str">
        <x:v>Buttery, nutty, and fruity with a savory, brothy depth. Notes of caramelized onion, light tang, and a mild washed rind funk. Aroma opens up big when shaved.</x:v>
      </x:c>
      <x:c r="L118" s="22" t="str">
        <x:v>This is “monk’s head” cheese, originally made by monks at the Abbey of Bellelay over 800 years ago. Instead of cutting it into wedges, you shave it on a girolle into little ruffled rosettes. That shaving isn’t just for looks, it actually releases more aroma and makes the texture feel softer and almost melt-in-your-mouth. The rind is washed in brine, giving it that sticky orange exterior and gentle funk. Historically, wheels were even used as currency.</x:v>
      </x:c>
      <x:c r="M118" s="22" t="str">
        <x:v>fruit, Hoppy Ale, cured beef, beautiful on a board or cake</x:v>
      </x:c>
      <x:c r="N118" s="22" t="str">
        <x:v>Alpine Spec Sheets.docx</x:v>
      </x:c>
      <x:c r="O118" s="22" t="str">
        <x:v>Alpine</x:v>
      </x:c>
      <x:c r="P118" s="22" t="str"/>
      <x:c r="Q118" s="21" t="str">
        <x:f>IF(P118="","Ready","Needs review")</x:f>
        <x:v>Ready</x:v>
      </x:c>
      <x:c r="R118" s="22" t="str">
        <x:v>Bellelay, Jura Mountains, Switzerland</x:v>
      </x:c>
      <x:c r="S118" s="21" t="str">
        <x:f>IF(COUNTIF($A$6:$A$120,A118)&gt;1,"Duplicate","Unique")</x:f>
        <x:v>Unique</x:v>
      </x:c>
    </x:row>
    <x:row r="119">
      <x:c r="A119" s="21" t="str">
        <x:v>underpass</x:v>
      </x:c>
      <x:c r="B119" s="21" t="str">
        <x:v>Underpass</x:v>
      </x:c>
      <x:c r="C119" s="21" t="str">
        <x:v>East Hill Creamery</x:v>
      </x:c>
      <x:c r="D119" s="21" t="str">
        <x:v>Perry</x:v>
      </x:c>
      <x:c r="E119" s="21" t="str">
        <x:v>NY</x:v>
      </x:c>
      <x:c r="F119" s="21" t="str">
        <x:v>USA</x:v>
      </x:c>
      <x:c r="G119" s="21" t="str">
        <x:v>Raw Cow’s Milk</x:v>
      </x:c>
      <x:c r="H119" s="21" t="str">
        <x:v>Animal Rennet</x:v>
      </x:c>
      <x:c r="I119" s="21" t="str">
        <x:v>raclette style; Alpine Style</x:v>
      </x:c>
      <x:c r="J119" s="21" t="str">
        <x:v>3 Months</x:v>
      </x:c>
      <x:c r="K119" s="22" t="str">
        <x:v>Creamy, earthy, savory, and melty with balanced salinity. Sweet alpine notes with a buttery finish and a little tang. The Reserve version develops bolder earthiness with hints of citrus and pineapple on the finish.</x:v>
      </x:c>
      <x:c r="L119" s="22" t="str">
        <x:v>Underpass was East Hill Creamery’s first cheese, named after the underpass they built beneath Route 20A to connect their cow pastures. Inspired by classic Alpine raclette styles, it was designed to melt beautifully while still holding onto that sweet-savory depth. It’s approachable, super versatile, and the kind of cheese that somehow works with nearly everything you throw at it. The Reserve version spends significantly longer in the cave, creating a firmer texture and deeper, more rustic flavor.</x:v>
      </x:c>
      <x:c r="M119" s="22" t="str">
        <x:v>fresh figs, sundried tomatoes, sparkling rosé, fruity beers</x:v>
      </x:c>
      <x:c r="N119" s="22" t="str">
        <x:v>Alpine Spec Sheets.docx</x:v>
      </x:c>
      <x:c r="O119" s="22" t="str">
        <x:v>Alpine</x:v>
      </x:c>
      <x:c r="P119" s="22" t="str"/>
      <x:c r="Q119" s="21" t="str">
        <x:f>IF(P119="","Ready","Needs review")</x:f>
        <x:v>Ready</x:v>
      </x:c>
      <x:c r="R119" s="22" t="str">
        <x:v>Perry, NY</x:v>
      </x:c>
      <x:c r="S119" s="21" t="str">
        <x:f>IF(COUNTIF($A$6:$A$120,A119)&gt;1,"Duplicate","Unique")</x:f>
        <x:v>Unique</x:v>
      </x:c>
    </x:row>
    <x:row r="120">
      <x:c r="A120" s="21" t="str">
        <x:v>whitney</x:v>
      </x:c>
      <x:c r="B120" s="21" t="str">
        <x:v>Whitney</x:v>
      </x:c>
      <x:c r="C120" s="21" t="str">
        <x:v>Jasper Hill Farm</x:v>
      </x:c>
      <x:c r="D120" s="21" t="str">
        <x:v>Greensboro</x:v>
      </x:c>
      <x:c r="E120" s="21" t="str">
        <x:v>Vermont</x:v>
      </x:c>
      <x:c r="F120" s="21" t="str">
        <x:v>USA</x:v>
      </x:c>
      <x:c r="G120" s="21" t="str">
        <x:v>Raw Cow</x:v>
      </x:c>
      <x:c r="H120" s="21" t="str">
        <x:v>Animal</x:v>
      </x:c>
      <x:c r="I120" s="21" t="str">
        <x:v>Raclette, cooked/unpressed</x:v>
      </x:c>
      <x:c r="J120" s="21" t="str">
        <x:v>3-6 months</x:v>
      </x:c>
      <x:c r="K120" s="22" t="str">
        <x:v>Sour cream, toasted nuts, cured ham</x:v>
      </x:c>
      <x:c r="L120" s="22" t="str">
        <x:v>WHITNEY - Named after Tim Whitney—Jasper Hill’s longest-standing Team Member—this cheese honors the people behind a mission to set the gold standard of artisan cheese quality. A reflection of community, Whitney is made in a semi-firm mountain style with traditional methods that capture a true “Taste of Place.”</x:v>
      </x:c>
      <x:c r="M120" s="22" t="str">
        <x:v>Meltable. Dried figs, lager, Kirsch, Cola, bresaola</x:v>
      </x:c>
      <x:c r="N120" s="22" t="str">
        <x:v>Alpine Spec Sheets.docx</x:v>
      </x:c>
      <x:c r="O120" s="22" t="str">
        <x:v>Alpine</x:v>
      </x:c>
      <x:c r="P120" s="22" t="str"/>
      <x:c r="Q120" s="21" t="str">
        <x:f>IF(P120="","Ready","Needs review")</x:f>
        <x:v>Ready</x:v>
      </x:c>
      <x:c r="R120" s="22" t="str">
        <x:v>Greensboro, Vermont</x:v>
      </x:c>
      <x:c r="S120" s="21" t="str">
        <x:f>IF(COUNTIF($A$6:$A$120,A120)&gt;1,"Duplicate","Unique")</x:f>
        <x:v>Unique</x:v>
      </x:c>
    </x:row>
  </x:sheetData>
  <x:mergeCells>
    <x:mergeCell ref="A1:S1"/>
    <x:mergeCell ref="A2:S2"/>
  </x:mergeCells>
  <x:conditionalFormatting sqref="Q6:Q120">
    <x:cfRule type="containsText" dxfId="0" priority="1" operator="containsText" text="Ready"/>
    <x:cfRule type="containsText" dxfId="1" priority="2" operator="containsText" text="Needs"/>
  </x:conditionalFormatting>
  <x:conditionalFormatting sqref="S6:S120">
    <x:cfRule type="containsText" dxfId="2" priority="3" operator="containsText" text="Duplicate"/>
  </x:conditionalFormatting>
  <x:pageMargins left="0.7" right="0.7" top="0.75" bottom="0.75" header="0.3" footer="0.3"/>
  <x:tableParts count="1">
    <x:tablePart xmlns:r="http://schemas.openxmlformats.org/officeDocument/2006/relationships" r:id="R25dc9f0d106340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25" hidden="0" customWidth="1"/>
    <x:col min="3" max="3" width="20" hidden="0" customWidth="1"/>
    <x:col min="4" max="4" width="48" hidden="0" customWidth="1"/>
    <x:col min="5" max="5" width="25" hidden="0" customWidth="1"/>
    <x:col min="6" max="6" width="20" hidden="0" customWidth="1"/>
    <x:col min="7" max="7" width="23" hidden="0" customWidth="1"/>
    <x:col min="8" max="8" width="35" hidden="0" customWidth="1"/>
  </x:cols>
  <x:sheetData>
    <x:row r="1" ht="36" customHeight="1">
      <x:c r="A1" s="3" t="str">
        <x:v>CHEESES REQUIRING SOURCE REVIEW</x:v>
      </x:c>
      <x:c r="B1" s="3"/>
      <x:c r="C1" s="3"/>
      <x:c r="D1" s="3"/>
      <x:c r="E1" s="3"/>
      <x:c r="F1" s="3"/>
      <x:c r="G1" s="3"/>
      <x:c r="H1" s="3"/>
    </x:row>
    <x:row r="3" ht="32" customHeight="1">
      <x:c r="A3" s="19" t="str">
        <x:v>Cheese</x:v>
      </x:c>
      <x:c r="B3" s="19" t="str">
        <x:v>Creamery</x:v>
      </x:c>
      <x:c r="C3" s="19" t="str">
        <x:v>Source category</x:v>
      </x:c>
      <x:c r="D3" s="19" t="str">
        <x:v>Issue</x:v>
      </x:c>
      <x:c r="E3" s="19" t="str">
        <x:v>Milk type</x:v>
      </x:c>
      <x:c r="F3" s="19" t="str">
        <x:v>Rennet</x:v>
      </x:c>
      <x:c r="G3" s="19" t="str">
        <x:v>Age</x:v>
      </x:c>
      <x:c r="H3" s="19" t="str">
        <x:v>Source document</x:v>
      </x:c>
    </x:row>
    <x:row r="4">
      <x:c r="A4" s="21" t="str">
        <x:v>Munster</x:v>
      </x:c>
      <x:c r="B4" s="21" t="str">
        <x:v>Grand Pere Fischer</x:v>
      </x:c>
      <x:c r="C4" s="21" t="str">
        <x:v>Washed Rind</x:v>
      </x:c>
      <x:c r="D4" s="25" t="str">
        <x:v>Milk type should be verified</x:v>
      </x:c>
      <x:c r="E4" s="21" t="str">
        <x:v>Pasteurized</x:v>
      </x:c>
      <x:c r="F4" s="21" t="str">
        <x:v>Animal</x:v>
      </x:c>
      <x:c r="G4" s="21" t="str">
        <x:v>Minimum 3 weeks</x:v>
      </x:c>
      <x:c r="H4" s="21" t="str">
        <x:v>Washed Rind Spec Sheets.docx</x:v>
      </x:c>
    </x:row>
    <x:row r="5">
      <x:c r="A5" s="21" t="str">
        <x:v>Coppinger</x:v>
      </x:c>
      <x:c r="B5" s="21" t="str">
        <x:v>Sequatchie Cove Creamery</x:v>
      </x:c>
      <x:c r="C5" s="21" t="str">
        <x:v>Tomme Style</x:v>
      </x:c>
      <x:c r="D5" s="25" t="str">
        <x:v>Missing in source: age_description</x:v>
      </x:c>
      <x:c r="E5" s="21" t="str">
        <x:v>raw cow’s milk</x:v>
      </x:c>
      <x:c r="F5" s="21" t="str">
        <x:v>traditional</x:v>
      </x:c>
      <x:c r="G5" s="21" t="str">
        <x:v>Not provided in source</x:v>
      </x:c>
      <x:c r="H5" s="21" t="str">
        <x:v>Tomme Style Spec Sheets.docx</x:v>
      </x:c>
    </x:row>
    <x:row r="6">
      <x:c r="A6" s="21" t="str">
        <x:v>Brebirousse d’Argental</x:v>
      </x:c>
      <x:c r="B6" s="21" t="str">
        <x:v>Not provided in source</x:v>
      </x:c>
      <x:c r="C6" s="21" t="str">
        <x:v>Soft Cheese</x:v>
      </x:c>
      <x:c r="D6" s="25" t="str">
        <x:v>Missing in source: creamery</x:v>
      </x:c>
      <x:c r="E6" s="21" t="str">
        <x:v>pasteurized sheep’s milk</x:v>
      </x:c>
      <x:c r="F6" s="21" t="str">
        <x:v>vegetarian rennet</x:v>
      </x:c>
      <x:c r="G6" s="21" t="str">
        <x:v>12 days</x:v>
      </x:c>
      <x:c r="H6" s="21" t="str">
        <x:v>Soft Cheese Spec Sheets .docx</x:v>
      </x:c>
    </x:row>
    <x:row r="7">
      <x:c r="A7" s="21" t="str">
        <x:v>CamemBertha</x:v>
      </x:c>
      <x:c r="B7" s="21" t="str">
        <x:v>Four Fat Fowl</x:v>
      </x:c>
      <x:c r="C7" s="21" t="str">
        <x:v>Soft Cheese</x:v>
      </x:c>
      <x:c r="D7" s="25" t="str">
        <x:v>Missing in source: rennet, flavor_profile</x:v>
      </x:c>
      <x:c r="E7" s="21" t="str">
        <x:v>pasteurized cow’s milk</x:v>
      </x:c>
      <x:c r="F7" s="21" t="str">
        <x:v>Not provided in source</x:v>
      </x:c>
      <x:c r="G7" s="21" t="str">
        <x:v>2 weeks</x:v>
      </x:c>
      <x:c r="H7" s="21" t="str">
        <x:v>Soft Cheese Spec Sheets .docx</x:v>
      </x:c>
    </x:row>
    <x:row r="8">
      <x:c r="A8" s="21" t="str">
        <x:v>Kunik</x:v>
      </x:c>
      <x:c r="B8" s="21" t="str">
        <x:v>Nettle Meadow Farm</x:v>
      </x:c>
      <x:c r="C8" s="21" t="str">
        <x:v>Soft Cheese</x:v>
      </x:c>
      <x:c r="D8" s="25" t="str">
        <x:v>Milk type should be verified</x:v>
      </x:c>
      <x:c r="E8" s="21" t="str">
        <x:v>Pasteurized</x:v>
      </x:c>
      <x:c r="F8" s="21" t="str">
        <x:v>Animal</x:v>
      </x:c>
      <x:c r="G8" s="21" t="str">
        <x:v>3-6 weeks</x:v>
      </x:c>
      <x:c r="H8" s="21" t="str">
        <x:v>Soft Cheese Spec Sheets .docx</x:v>
      </x:c>
    </x:row>
    <x:row r="9">
      <x:c r="A9" s="21" t="str">
        <x:v>Mt Alice</x:v>
      </x:c>
      <x:c r="B9" s="21" t="str">
        <x:v>von Trapp Farmstead</x:v>
      </x:c>
      <x:c r="C9" s="21" t="str">
        <x:v>Soft Cheese</x:v>
      </x:c>
      <x:c r="D9" s="25" t="str">
        <x:v>Missing in source: age_description</x:v>
      </x:c>
      <x:c r="E9" s="21" t="str">
        <x:v>pasteurized cow</x:v>
      </x:c>
      <x:c r="F9" s="21" t="str">
        <x:v>traditional</x:v>
      </x:c>
      <x:c r="G9" s="21" t="str">
        <x:v>Not provided in source</x:v>
      </x:c>
      <x:c r="H9" s="21" t="str">
        <x:v>Soft Cheese Spec Sheets .docx</x:v>
      </x:c>
    </x:row>
    <x:row r="10">
      <x:c r="A10" s="21" t="str">
        <x:v>Nancy’s Camembert</x:v>
      </x:c>
      <x:c r="B10" s="21" t="str">
        <x:v>Old Chatham Creamery</x:v>
      </x:c>
      <x:c r="C10" s="21" t="str">
        <x:v>Soft Cheese</x:v>
      </x:c>
      <x:c r="D10" s="25" t="str">
        <x:v>Missing in source: age_description</x:v>
      </x:c>
      <x:c r="E10" s="21" t="str">
        <x:v>pasteurized cow &amp; sheep</x:v>
      </x:c>
      <x:c r="F10" s="21" t="str">
        <x:v>microbial</x:v>
      </x:c>
      <x:c r="G10" s="21" t="str">
        <x:v>Not provided in source</x:v>
      </x:c>
      <x:c r="H10" s="21" t="str">
        <x:v>Soft Cheese Spec Sheets .docx</x:v>
      </x:c>
    </x:row>
    <x:row r="11">
      <x:c r="A11" s="21" t="str">
        <x:v>Tomme 1947</x:v>
      </x:c>
      <x:c r="B11" s="21" t="str">
        <x:v>Fromagerie Pascal Jacquin et Fils</x:v>
      </x:c>
      <x:c r="C11" s="21" t="str">
        <x:v>Soft Cheese</x:v>
      </x:c>
      <x:c r="D11" s="25" t="str">
        <x:v>Missing in source: age_description</x:v>
      </x:c>
      <x:c r="E11" s="21" t="str">
        <x:v>pasteurized goat’s milk</x:v>
      </x:c>
      <x:c r="F11" s="21" t="str">
        <x:v>traditional</x:v>
      </x:c>
      <x:c r="G11" s="21" t="str">
        <x:v>Not provided in source</x:v>
      </x:c>
      <x:c r="H11" s="21" t="str">
        <x:v>Soft Cheese Spec Sheets .docx</x:v>
      </x:c>
    </x:row>
    <x:row r="12">
      <x:c r="A12" s="21" t="str">
        <x:v>Mariana</x:v>
      </x:c>
      <x:c r="B12" s="21" t="str">
        <x:v>Blakesville Creamery</x:v>
      </x:c>
      <x:c r="C12" s="21" t="str">
        <x:v>Hard Aged Cheese</x:v>
      </x:c>
      <x:c r="D12" s="25" t="str">
        <x:v>Missing in source: pairings</x:v>
      </x:c>
      <x:c r="E12" s="21" t="str">
        <x:v>Pasteurized sheep’s milk</x:v>
      </x:c>
      <x:c r="F12" s="21" t="str">
        <x:v>traditional</x:v>
      </x:c>
      <x:c r="G12" s="21" t="str">
        <x:v>3-6 months</x:v>
      </x:c>
      <x:c r="H12" s="21" t="str">
        <x:v>Hard Aged Cheese Spec Sheets.docx</x:v>
      </x:c>
    </x:row>
    <x:row r="13">
      <x:c r="A13" s="21" t="str">
        <x:v>Double Dutch</x:v>
      </x:c>
      <x:c r="B13" s="21" t="str">
        <x:v>Treur Kaas</x:v>
      </x:c>
      <x:c r="C13" s="21" t="str">
        <x:v>Gouda</x:v>
      </x:c>
      <x:c r="D13" s="25" t="str">
        <x:v>Missing in source: age_description</x:v>
      </x:c>
      <x:c r="E13" s="21" t="str">
        <x:v>Pasteurized cow &amp; goat’s milk</x:v>
      </x:c>
      <x:c r="F13" s="21" t="str">
        <x:v>microbial / vegetarian</x:v>
      </x:c>
      <x:c r="G13" s="21" t="str">
        <x:v>Not provided in source</x:v>
      </x:c>
      <x:c r="H13" s="21" t="str">
        <x:v>Gouda Spec Sheets.docx</x:v>
      </x:c>
    </x:row>
    <x:row r="14">
      <x:c r="A14" s="21" t="str">
        <x:v>Hootenanny</x:v>
      </x:c>
      <x:c r="B14" s="21" t="str">
        <x:v>Goat Rodeo Farm</x:v>
      </x:c>
      <x:c r="C14" s="21" t="str">
        <x:v>Gouda</x:v>
      </x:c>
      <x:c r="D14" s="25" t="str">
        <x:v>Missing in source: age_description</x:v>
      </x:c>
      <x:c r="E14" s="21" t="str">
        <x:v>pasteurized goat</x:v>
      </x:c>
      <x:c r="F14" s="21" t="str">
        <x:v>microbial, vegetarian</x:v>
      </x:c>
      <x:c r="G14" s="21" t="str">
        <x:v>Not provided in source</x:v>
      </x:c>
      <x:c r="H14" s="21" t="str">
        <x:v>Gouda Spec Sheets.docx</x:v>
      </x:c>
    </x:row>
    <x:row r="15">
      <x:c r="A15" s="21" t="str">
        <x:v>Meredith Dairy Goat and Sheep</x:v>
      </x:c>
      <x:c r="B15" s="21" t="str">
        <x:v>Meredith Dairy</x:v>
      </x:c>
      <x:c r="C15" s="21" t="str">
        <x:v>Fresh Cheese</x:v>
      </x:c>
      <x:c r="D15" s="25" t="str">
        <x:v>Missing in source: age_description</x:v>
      </x:c>
      <x:c r="E15" s="21" t="str">
        <x:v>Pasteurized sheep and goat</x:v>
      </x:c>
      <x:c r="F15" s="21" t="str">
        <x:v>Vegetarian</x:v>
      </x:c>
      <x:c r="G15" s="21" t="str">
        <x:v>Not provided in source</x:v>
      </x:c>
      <x:c r="H15" s="21" t="str">
        <x:v>Fresh Cheese Spec Sheets.docx</x:v>
      </x:c>
    </x:row>
    <x:row r="16">
      <x:c r="A16" s="21" t="str">
        <x:v>Wooly Wooly</x:v>
      </x:c>
      <x:c r="B16" s="21" t="str">
        <x:v>Wooly Wooly</x:v>
      </x:c>
      <x:c r="C16" s="21" t="str">
        <x:v>Fresh Cheese</x:v>
      </x:c>
      <x:c r="D16" s="25" t="str">
        <x:v>Missing in source: rennet</x:v>
      </x:c>
      <x:c r="E16" s="21" t="str">
        <x:v>Pasteurized Lacaune Sheep</x:v>
      </x:c>
      <x:c r="F16" s="21" t="str">
        <x:v>Not provided in source</x:v>
      </x:c>
      <x:c r="G16" s="21" t="str">
        <x:v>10 days</x:v>
      </x:c>
      <x:c r="H16" s="21" t="str">
        <x:v>Fresh Cheese Spec Sheets.docx</x:v>
      </x:c>
    </x:row>
    <x:row r="17">
      <x:c r="A17" s="21" t="str">
        <x:v>Peak’s Cheddar</x:v>
      </x:c>
      <x:c r="B17" s="21" t="str">
        <x:v>Hudson Valley Creamery</x:v>
      </x:c>
      <x:c r="C17" s="21" t="str">
        <x:v>Cheddar</x:v>
      </x:c>
      <x:c r="D17" s="25" t="str">
        <x:v>Missing in source: rennet, story_notes</x:v>
      </x:c>
      <x:c r="E17" s="21" t="str">
        <x:v>Pasteurized Cow</x:v>
      </x:c>
      <x:c r="F17" s="21" t="str">
        <x:v>Not provided in source</x:v>
      </x:c>
      <x:c r="G17" s="21" t="str">
        <x:v>15 Years</x:v>
      </x:c>
      <x:c r="H17" s="21" t="str">
        <x:v>Cheddar Spec Sheets.docx</x:v>
      </x:c>
    </x:row>
    <x:row r="18">
      <x:c r="A18" s="21" t="str">
        <x:v>Street Ched</x:v>
      </x:c>
      <x:c r="B18" s="21" t="str">
        <x:v>Urban Stead Cheese</x:v>
      </x:c>
      <x:c r="C18" s="21" t="str">
        <x:v>Cheddar</x:v>
      </x:c>
      <x:c r="D18" s="25" t="str">
        <x:v>Milk type should be verified</x:v>
      </x:c>
      <x:c r="E18" s="21" t="str">
        <x:v>Pasteurized Jersey Milk</x:v>
      </x:c>
      <x:c r="F18" s="21" t="str">
        <x:v>Animal</x:v>
      </x:c>
      <x:c r="G18" s="21" t="str">
        <x:v>16-18 months</x:v>
      </x:c>
      <x:c r="H18" s="21" t="str">
        <x:v>Cheddar Spec Sheets.docx</x:v>
      </x:c>
    </x:row>
    <x:row r="19">
      <x:c r="A19" s="21" t="str">
        <x:v>Cascadilla Blue</x:v>
      </x:c>
      <x:c r="B19" s="21" t="str">
        <x:v>Lakins Gorges Creamery</x:v>
      </x:c>
      <x:c r="C19" s="21" t="str">
        <x:v>Blue Cheese</x:v>
      </x:c>
      <x:c r="D19" s="25" t="str">
        <x:v>Missing in source: age_description</x:v>
      </x:c>
      <x:c r="E19" s="21" t="str">
        <x:v>Pasteurized Jersey Cow</x:v>
      </x:c>
      <x:c r="F19" s="21" t="str">
        <x:v>Animal</x:v>
      </x:c>
      <x:c r="G19" s="21" t="str">
        <x:v>Not provided in source</x:v>
      </x:c>
      <x:c r="H19" s="21" t="str">
        <x:v>Blue Cheese Spec Sheets.docx</x:v>
      </x:c>
    </x:row>
    <x:row r="20">
      <x:c r="A20" s="21" t="str">
        <x:v>Fourme d’Ambert</x:v>
      </x:c>
      <x:c r="B20" s="21" t="str">
        <x:v>l'Or des Domes</x:v>
      </x:c>
      <x:c r="C20" s="21" t="str">
        <x:v>Blue Cheese</x:v>
      </x:c>
      <x:c r="D20" s="25" t="str">
        <x:v>Missing in source: pairings</x:v>
      </x:c>
      <x:c r="E20" s="21" t="str">
        <x:v>Pasteurized cow’s milk</x:v>
      </x:c>
      <x:c r="F20" s="21" t="str">
        <x:v>traditional</x:v>
      </x:c>
      <x:c r="G20" s="21" t="str">
        <x:v>40 days to 3 months</x:v>
      </x:c>
      <x:c r="H20" s="21" t="str">
        <x:v>Blue Cheese Spec Sheets.docx</x:v>
      </x:c>
    </x:row>
    <x:row r="21">
      <x:c r="A21" s="21" t="str">
        <x:v>Penta Creme Blue</x:v>
      </x:c>
      <x:c r="B21" s="21" t="str">
        <x:v>Carr Valley Cheese</x:v>
      </x:c>
      <x:c r="C21" s="21" t="str">
        <x:v>Blue Cheese</x:v>
      </x:c>
      <x:c r="D21" s="25" t="str">
        <x:v>Missing in source: age_description; Milk type should be verified</x:v>
      </x:c>
      <x:c r="E21" s="21" t="str">
        <x:v>gluten free blue cheese</x:v>
      </x:c>
      <x:c r="F21" s="21" t="str">
        <x:v>Vegetarian</x:v>
      </x:c>
      <x:c r="G21" s="21" t="str">
        <x:v>Not provided in source</x:v>
      </x:c>
      <x:c r="H21" s="21" t="str">
        <x:v>Blue Cheese Spec Sheets.docx</x:v>
      </x:c>
    </x:row>
    <x:row r="22">
      <x:c r="A22" s="21" t="str">
        <x:v>Challerhocker</x:v>
      </x:c>
      <x:c r="B22" s="21" t="str">
        <x:v>Not provided in source</x:v>
      </x:c>
      <x:c r="C22" s="21" t="str">
        <x:v>Alpine</x:v>
      </x:c>
      <x:c r="D22" s="25" t="str">
        <x:v>Missing in source: creamery</x:v>
      </x:c>
      <x:c r="E22" s="21" t="str">
        <x:v>raw cow’s milk</x:v>
      </x:c>
      <x:c r="F22" s="21" t="str">
        <x:v>animal</x:v>
      </x:c>
      <x:c r="G22" s="21" t="str">
        <x:v>minimum of ten months</x:v>
      </x:c>
      <x:c r="H22" s="21" t="str">
        <x:v>Alpine Spec Sheets.docx</x:v>
      </x:c>
    </x:row>
  </x:sheetData>
  <x:mergeCells>
    <x:mergeCell ref="A1:H1"/>
  </x:mergeCells>
  <x:pageMargins left="0.7" right="0.7" top="0.75" bottom="0.75" header="0.3" footer="0.3"/>
  <x:tableParts count="1">
    <x:tablePart xmlns:r="http://schemas.openxmlformats.org/officeDocument/2006/relationships" r:id="R1e05ad7be43f4a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18" hidden="0" customWidth="1"/>
    <x:col min="4" max="4" width="18" hidden="0" customWidth="1"/>
    <x:col min="5" max="5" width="18" hidden="0" customWidth="1"/>
  </x:cols>
  <x:sheetData>
    <x:row r="1" ht="36" customHeight="1">
      <x:c r="A1" s="3" t="str">
        <x:v>SOURCE DOCUMENT RECONCILIATION</x:v>
      </x:c>
      <x:c r="B1" s="3"/>
      <x:c r="C1" s="3"/>
      <x:c r="D1" s="3"/>
      <x:c r="E1" s="3"/>
    </x:row>
    <x:row r="3" ht="28" customHeight="1">
      <x:c r="A3" s="26" t="str">
        <x:v>Source document</x:v>
      </x:c>
      <x:c r="B3" s="26" t="str">
        <x:v>Category</x:v>
      </x:c>
      <x:c r="C3" s="26" t="str">
        <x:v>Extracted</x:v>
      </x:c>
      <x:c r="D3" s="26" t="str">
        <x:v>Ready</x:v>
      </x:c>
      <x:c r="E3" s="26" t="str">
        <x:v>Needs review</x:v>
      </x:c>
    </x:row>
    <x:row r="4">
      <x:c r="A4" t="str">
        <x:v>Alpine Spec Sheets.docx</x:v>
      </x:c>
      <x:c r="B4" t="str">
        <x:v>Alpine</x:v>
      </x:c>
      <x:c r="C4" s="28" t="n">
        <x:v>23</x:v>
      </x:c>
      <x:c r="D4" s="28" t="n">
        <x:v>22</x:v>
      </x:c>
      <x:c r="E4" s="28" t="n">
        <x:v>1</x:v>
      </x:c>
    </x:row>
    <x:row r="5">
      <x:c r="A5" t="str">
        <x:v>Blue Cheese Spec Sheets.docx</x:v>
      </x:c>
      <x:c r="B5" t="str">
        <x:v>Blue Cheese</x:v>
      </x:c>
      <x:c r="C5" s="28" t="n">
        <x:v>15</x:v>
      </x:c>
      <x:c r="D5" s="28" t="n">
        <x:v>12</x:v>
      </x:c>
      <x:c r="E5" s="28" t="n">
        <x:v>3</x:v>
      </x:c>
    </x:row>
    <x:row r="6">
      <x:c r="A6" t="str">
        <x:v>Cheddar Spec Sheets.docx</x:v>
      </x:c>
      <x:c r="B6" t="str">
        <x:v>Cheddar</x:v>
      </x:c>
      <x:c r="C6" s="28" t="n">
        <x:v>7</x:v>
      </x:c>
      <x:c r="D6" s="28" t="n">
        <x:v>5</x:v>
      </x:c>
      <x:c r="E6" s="28" t="n">
        <x:v>2</x:v>
      </x:c>
    </x:row>
    <x:row r="7">
      <x:c r="A7" t="str">
        <x:v>Fresh Cheese Spec Sheets.docx</x:v>
      </x:c>
      <x:c r="B7" t="str">
        <x:v>Fresh Cheese</x:v>
      </x:c>
      <x:c r="C7" s="28" t="n">
        <x:v>7</x:v>
      </x:c>
      <x:c r="D7" s="28" t="n">
        <x:v>5</x:v>
      </x:c>
      <x:c r="E7" s="28" t="n">
        <x:v>2</x:v>
      </x:c>
    </x:row>
    <x:row r="8">
      <x:c r="A8" t="str">
        <x:v>Gouda Spec Sheets.docx</x:v>
      </x:c>
      <x:c r="B8" t="str">
        <x:v>Gouda</x:v>
      </x:c>
      <x:c r="C8" s="28" t="n">
        <x:v>11</x:v>
      </x:c>
      <x:c r="D8" s="28" t="n">
        <x:v>9</x:v>
      </x:c>
      <x:c r="E8" s="28" t="n">
        <x:v>2</x:v>
      </x:c>
    </x:row>
    <x:row r="9">
      <x:c r="A9" t="str">
        <x:v>Hard Aged Cheese Spec Sheets.docx</x:v>
      </x:c>
      <x:c r="B9" t="str">
        <x:v>Hard Aged Cheese</x:v>
      </x:c>
      <x:c r="C9" s="28" t="n">
        <x:v>6</x:v>
      </x:c>
      <x:c r="D9" s="28" t="n">
        <x:v>5</x:v>
      </x:c>
      <x:c r="E9" s="28" t="n">
        <x:v>1</x:v>
      </x:c>
    </x:row>
    <x:row r="10">
      <x:c r="A10" t="str">
        <x:v>Soft Cheese Spec Sheets .docx</x:v>
      </x:c>
      <x:c r="B10" t="str">
        <x:v>Soft Cheese</x:v>
      </x:c>
      <x:c r="C10" s="28" t="n">
        <x:v>23</x:v>
      </x:c>
      <x:c r="D10" s="28" t="n">
        <x:v>17</x:v>
      </x:c>
      <x:c r="E10" s="28" t="n">
        <x:v>6</x:v>
      </x:c>
    </x:row>
    <x:row r="11">
      <x:c r="A11" t="str">
        <x:v>Tomme Style Spec Sheets.docx</x:v>
      </x:c>
      <x:c r="B11" t="str">
        <x:v>Tomme Style</x:v>
      </x:c>
      <x:c r="C11" s="28" t="n">
        <x:v>10</x:v>
      </x:c>
      <x:c r="D11" s="28" t="n">
        <x:v>9</x:v>
      </x:c>
      <x:c r="E11" s="28" t="n">
        <x:v>1</x:v>
      </x:c>
    </x:row>
    <x:row r="12">
      <x:c r="A12" t="str">
        <x:v>Washed Rind Spec Sheets.docx</x:v>
      </x:c>
      <x:c r="B12" t="str">
        <x:v>Washed Rind</x:v>
      </x:c>
      <x:c r="C12" s="28" t="n">
        <x:v>13</x:v>
      </x:c>
      <x:c r="D12" s="28" t="n">
        <x:v>12</x:v>
      </x:c>
      <x:c r="E12" s="28" t="n">
        <x:v>1</x:v>
      </x:c>
    </x:row>
  </x:sheetData>
  <x:mergeCells>
    <x:mergeCell ref="A1:E1"/>
  </x:mergeCells>
  <x:pageMargins left="0.7" right="0.7" top="0.75" bottom="0.75" header="0.3" footer="0.3"/>
  <x:tableParts count="1">
    <x:tablePart xmlns:r="http://schemas.openxmlformats.org/officeDocument/2006/relationships" r:id="R2dc4066a6ecf4591"/>
  </x:tableParts>
</x:worksheet>
</file>